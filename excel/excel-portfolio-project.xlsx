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data analyst\excel\"/>
    </mc:Choice>
  </mc:AlternateContent>
  <xr:revisionPtr revIDLastSave="0" documentId="8_{73FF6498-1BFC-4FC5-9E28-9934D780899D}" xr6:coauthVersionLast="47" xr6:coauthVersionMax="47" xr10:uidLastSave="{00000000-0000-0000-0000-000000000000}"/>
  <bookViews>
    <workbookView xWindow="-108" yWindow="-108" windowWidth="23256" windowHeight="12456" activeTab="1" xr2:uid="{26D4546B-D2A1-4444-8EAF-A6228F96F0C1}"/>
  </bookViews>
  <sheets>
    <sheet name="Sheet4" sheetId="8" r:id="rId1"/>
    <sheet name="Sheet5" sheetId="9" r:id="rId2"/>
    <sheet name="Data" sheetId="2" r:id="rId3"/>
    <sheet name="Assets" sheetId="4" r:id="rId4"/>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567" r:id="rId9"/>
    <pivotCache cacheId="570" r:id="rId10"/>
    <pivotCache cacheId="573" r:id="rId11"/>
    <pivotCache cacheId="576" r:id="rId12"/>
    <pivotCache cacheId="57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9" l="1" a="1"/>
  <c r="M15" i="9" s="1"/>
  <c r="L16" i="9" a="1"/>
  <c r="L16" i="9" s="1"/>
  <c r="H32" i="8"/>
  <c r="I39" i="8"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7" i="8" l="1"/>
  <c r="H38" i="8"/>
  <c r="H39" i="8"/>
  <c r="I35" i="8"/>
  <c r="I36" i="8"/>
  <c r="I37" i="8"/>
  <c r="H35" i="8"/>
  <c r="I38" i="8"/>
  <c r="H3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47656D-8BB0-46D7-A196-5406BCD782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885AE5F-DB7A-4C46-84FF-8589DBF6AAD3}" name="WorksheetConnection_07.sample-data-excel-portfolio-project.xlsx!calls" type="102" refreshedVersion="8" minRefreshableVersion="5">
    <extLst>
      <ext xmlns:x15="http://schemas.microsoft.com/office/spreadsheetml/2010/11/main" uri="{DE250136-89BD-433C-8126-D09CA5730AF9}">
        <x15:connection id="calls">
          <x15:rangePr sourceName="_xlcn.WorksheetConnection_07.sampledataexcelportfolioproject.xlsxcalls1"/>
        </x15:connection>
      </ext>
    </extLst>
  </connection>
  <connection id="3" xr16:uid="{1A65AB56-E742-4758-B908-9E78742B707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<sst xmlns="http://schemas.openxmlformats.org/spreadsheetml/2006/main" count="3162" uniqueCount="1074">
  <si>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</si>
  <si>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</si>
  <si>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</si>
  <si>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</si>
  <si>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</si>
  <si>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</si>
  <si>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</si>
  <si>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</si>
  <si>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</si>
  <si>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</si>
  <si>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</si>
  <si>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</si>
  <si>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</si>
  <si>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</si>
  <si>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</si>
  <si>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</si>
  <si>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</si>
  <si>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</si>
  <si>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</si>
  <si>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</si>
  <si>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</si>
  <si>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</si>
  <si>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</si>
  <si>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</si>
  <si>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</si>
  <si>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</si>
  <si>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</si>
  <si>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</si>
  <si>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</si>
  <si>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</si>
  <si>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</si>
  <si>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</si>
  <si>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</si>
  <si>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</si>
  <si>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</si>
  <si>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</si>
  <si>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</si>
  <si>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</si>
  <si>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</si>
  <si>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</si>
  <si>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</si>
  <si>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</si>
  <si>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</si>
  <si>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</si>
  <si>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</si>
  <si>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</si>
  <si>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</si>
  <si>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</si>
  <si>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</si>
  <si>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</si>
  <si>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</si>
  <si>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</si>
  <si>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</si>
  <si>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</si>
  <si>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</si>
  <si>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</si>
  <si>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</si>
  <si>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</si>
  <si>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</si>
  <si>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</si>
  <si>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</si>
  <si>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</si>
  <si>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</si>
  <si>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</si>
  <si>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</si>
  <si>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</si>
  <si>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</si>
  <si>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</si>
  <si>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</si>
  <si>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</si>
  <si>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</si>
  <si>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</si>
  <si>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</si>
  <si>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</si>
  <si>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</si>
  <si>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</si>
  <si>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</si>
  <si>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</si>
  <si>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</si>
  <si>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</si>
  <si>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</si>
  <si>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</si>
  <si>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</si>
  <si>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</si>
  <si>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</si>
  <si>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</si>
  <si>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</si>
  <si>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</si>
  <si>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</si>
  <si>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</si>
  <si>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</si>
  <si>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</si>
  <si>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</si>
  <si>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</si>
  <si>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</si>
  <si>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</si>
  <si>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</si>
  <si>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</si>
  <si>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</si>
  <si>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</si>
  <si>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</si>
  <si>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</si>
  <si>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</si>
  <si>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</si>
  <si>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</si>
  <si>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</si>
  <si>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</si>
  <si>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</si>
  <si>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</si>
  <si>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</si>
  <si>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</si>
  <si>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</si>
  <si>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</si>
  <si>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</si>
  <si>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</si>
  <si>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</si>
  <si>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</si>
  <si>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</si>
  <si>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</si>
  <si>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</si>
  <si>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</si>
  <si>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</si>
  <si>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</si>
  <si>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</si>
  <si>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</si>
  <si>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</si>
  <si>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</si>
  <si>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</si>
  <si>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</si>
  <si>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</si>
  <si>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</si>
  <si>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</si>
  <si>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</si>
  <si>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</si>
  <si>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</si>
  <si>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</si>
  <si>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</si>
  <si>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</si>
  <si>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</si>
  <si>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</si>
  <si>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</si>
  <si>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</si>
  <si>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</si>
  <si>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</si>
  <si>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</si>
  <si>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</si>
  <si>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</si>
  <si>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</si>
  <si>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</si>
  <si>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</si>
  <si>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</si>
  <si>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</si>
  <si>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</si>
  <si>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</si>
  <si>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</si>
  <si>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</si>
  <si>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</si>
  <si>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</si>
  <si>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</si>
  <si>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</si>
  <si>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</si>
  <si>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</si>
  <si>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</si>
  <si>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</si>
  <si>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</si>
  <si>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</si>
  <si>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</si>
  <si>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</si>
  <si>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</si>
  <si>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</si>
  <si>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</si>
  <si>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</si>
  <si>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</si>
  <si>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</si>
  <si>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</si>
  <si>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</si>
  <si>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</si>
  <si>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</si>
  <si>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</si>
  <si>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</si>
  <si>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</si>
  <si>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</si>
  <si>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</si>
  <si>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</si>
  <si>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</si>
  <si>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</si>
  <si>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</si>
  <si>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</si>
  <si>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</si>
  <si>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</si>
  <si>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</si>
  <si>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</si>
  <si>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</si>
  <si>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</si>
  <si>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</si>
  <si>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</si>
  <si>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</si>
  <si>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</si>
  <si>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</si>
  <si>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</si>
  <si>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</si>
  <si>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</si>
  <si>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</si>
  <si>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</si>
  <si>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</si>
  <si>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</si>
  <si>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</si>
  <si>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</si>
  <si>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</si>
  <si>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</si>
  <si>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</si>
  <si>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</si>
  <si>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</si>
  <si>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</si>
  <si>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</si>
  <si>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</si>
  <si>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</si>
  <si>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</si>
  <si>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</si>
  <si>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</si>
  <si>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</si>
  <si>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</si>
  <si>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</si>
  <si>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</si>
  <si>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</si>
  <si>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</si>
  <si>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</si>
  <si>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</si>
  <si>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</si>
  <si>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</si>
  <si>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</si>
  <si>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</si>
  <si>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</si>
  <si>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</si>
  <si>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</si>
  <si>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</si>
  <si>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</si>
  <si>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</si>
  <si>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</si>
  <si>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</si>
  <si>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</si>
  <si>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</si>
  <si>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</si>
  <si>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</si>
  <si>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</si>
  <si>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</si>
  <si>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</si>
  <si>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</si>
  <si>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</si>
  <si>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</si>
  <si>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</si>
  <si>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</si>
  <si>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</si>
  <si>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</si>
  <si>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</si>
  <si>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</si>
  <si>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</si>
  <si>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</si>
  <si>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</si>
  <si>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</si>
  <si>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</si>
  <si>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</si>
  <si>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</si>
  <si>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</si>
  <si>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</si>
  <si>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</si>
  <si>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</si>
  <si>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</si>
  <si>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</si>
  <si>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</si>
  <si>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</si>
  <si>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</si>
  <si>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</si>
  <si>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</si>
  <si>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</si>
  <si>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</si>
  <si>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</si>
  <si>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</si>
  <si>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</si>
  <si>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</si>
  <si>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</si>
  <si>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</si>
  <si>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</si>
  <si>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</si>
  <si>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</si>
  <si>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</si>
  <si>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</si>
  <si>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</si>
  <si>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</si>
  <si>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</si>
  <si>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</si>
  <si>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</si>
  <si>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</si>
  <si>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</si>
  <si>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</si>
  <si>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</si>
  <si>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</si>
  <si>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</si>
  <si>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</si>
  <si>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</si>
  <si>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</si>
  <si>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</si>
  <si>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</si>
  <si>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</si>
  <si>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</si>
  <si>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</si>
  <si>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</si>
  <si>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</si>
  <si>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</si>
  <si>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</si>
  <si>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</si>
  <si>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</si>
  <si>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</si>
  <si>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</si>
  <si>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</si>
  <si>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</si>
  <si>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</si>
  <si>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</si>
  <si>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</si>
  <si>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</si>
  <si>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</si>
  <si>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</si>
  <si>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</si>
  <si>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</si>
  <si>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</si>
  <si>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</si>
  <si>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</si>
  <si>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</si>
  <si>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</si>
  <si>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</si>
  <si>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</si>
  <si>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</si>
  <si>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</si>
  <si>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</si>
  <si>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</si>
  <si>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</si>
  <si>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</si>
  <si>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</si>
  <si>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</si>
  <si>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</si>
  <si>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</si>
  <si>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</si>
  <si>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</si>
  <si>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</si>
  <si>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</si>
  <si>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</si>
  <si>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</si>
  <si>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</si>
  <si>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</si>
  <si>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</si>
  <si>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</si>
  <si>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</si>
  <si>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</si>
  <si>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</si>
  <si>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</si>
  <si>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</si>
  <si>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</si>
  <si>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</si>
  <si>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</si>
  <si>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</si>
  <si>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</si>
  <si>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</si>
  <si>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</si>
  <si>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</si>
  <si>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</si>
  <si>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</si>
  <si>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</si>
  <si>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</si>
  <si>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</si>
  <si>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</si>
  <si>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</si>
  <si>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</si>
  <si>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</si>
  <si>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</si>
  <si>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</si>
  <si>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</si>
  <si>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</si>
  <si>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</si>
  <si>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</si>
  <si>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</si>
  <si>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</si>
  <si>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</si>
  <si>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</si>
  <si>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</si>
  <si>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</si>
  <si>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</si>
  <si>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</si>
  <si>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</si>
  <si>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</si>
  <si>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</si>
  <si>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</si>
  <si>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</si>
  <si>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</si>
  <si>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</si>
  <si>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</si>
  <si>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</si>
  <si>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</si>
  <si>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</si>
  <si>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</si>
  <si>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</si>
  <si>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</si>
  <si>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</si>
  <si>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</si>
  <si>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</si>
  <si>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</si>
  <si>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</si>
  <si>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</si>
  <si>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</si>
  <si>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</si>
  <si>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</si>
  <si>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</si>
  <si>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</si>
  <si>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</si>
  <si>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</si>
  <si>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</si>
  <si>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</si>
  <si>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</si>
  <si>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</si>
  <si>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</si>
  <si>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</si>
  <si>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</si>
  <si>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</si>
  <si>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</si>
  <si>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</si>
  <si>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</si>
  <si>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</si>
  <si>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</si>
  <si>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</si>
  <si>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</si>
  <si>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</si>
  <si>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</si>
  <si>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</si>
  <si>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</si>
  <si>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</si>
  <si>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</si>
  <si>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</si>
  <si>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</si>
  <si>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</si>
  <si>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</si>
  <si>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</si>
  <si>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</si>
  <si>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</si>
  <si>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</si>
  <si>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</si>
  <si>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</si>
  <si>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</si>
  <si>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</si>
  <si>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</si>
  <si>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</si>
  <si>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</si>
  <si>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</si>
  <si>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</si>
  <si>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</si>
  <si>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</si>
  <si>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</si>
  <si>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</si>
  <si>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</si>
  <si>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</si>
  <si>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</si>
  <si>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</si>
  <si>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</si>
  <si>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</si>
  <si>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</si>
  <si>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</si>
  <si>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</si>
  <si>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</si>
  <si>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</si>
  <si>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</si>
  <si>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</si>
  <si>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</si>
  <si>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</si>
  <si>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</si>
  <si>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</si>
  <si>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</si>
  <si>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</si>
  <si>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</si>
  <si>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</si>
  <si>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</si>
  <si>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</si>
  <si>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</si>
  <si>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</si>
  <si>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</si>
  <si>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</si>
  <si>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</si>
  <si>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</si>
  <si>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</si>
  <si>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</si>
  <si>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</si>
  <si>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</si>
  <si>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</si>
  <si>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</si>
  <si>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</si>
  <si>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</si>
  <si>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</si>
  <si>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</si>
  <si>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</si>
  <si>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</si>
  <si>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</si>
  <si>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</si>
  <si>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</si>
  <si>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</si>
  <si>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</si>
  <si>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</si>
  <si>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</si>
  <si>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</si>
  <si>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</si>
  <si>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</si>
  <si>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</si>
  <si>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</si>
  <si>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</si>
  <si>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</si>
  <si>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</si>
  <si>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</si>
  <si>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</si>
  <si>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</si>
  <si>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</si>
  <si>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</si>
  <si>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</si>
  <si>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</si>
  <si>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</si>
  <si>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</si>
  <si>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</si>
  <si>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</si>
  <si>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</si>
  <si>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</si>
  <si>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</si>
  <si>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</si>
  <si>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</si>
  <si>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</si>
  <si>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</si>
  <si>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</si>
  <si>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</si>
  <si>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</si>
  <si>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</si>
  <si>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</si>
  <si>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</si>
  <si>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</si>
  <si>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</si>
  <si>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</si>
  <si>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</si>
  <si>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</si>
  <si>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</si>
  <si>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</si>
  <si>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</si>
  <si>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</si>
  <si>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</si>
  <si>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</si>
  <si>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</si>
  <si>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</si>
  <si>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</si>
  <si>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</si>
  <si>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</si>
  <si>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</si>
  <si>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</si>
  <si>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</si>
  <si>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</si>
  <si>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</si>
  <si>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</si>
  <si>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</si>
  <si>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</si>
  <si>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</si>
  <si>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</si>
  <si>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</si>
  <si>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</si>
  <si>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</si>
  <si>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</si>
  <si>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</si>
  <si>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</si>
  <si>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</si>
  <si>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</si>
  <si>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</si>
  <si>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</si>
  <si>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</si>
  <si>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</si>
  <si>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</si>
  <si>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</si>
  <si>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</si>
  <si>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</si>
  <si>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</si>
  <si>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</si>
  <si>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</si>
  <si>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</si>
  <si>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</si>
  <si>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</si>
  <si>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</si>
  <si>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</si>
  <si>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</si>
  <si>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</si>
  <si>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</si>
  <si>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</si>
  <si>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</si>
  <si>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</si>
  <si>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</si>
  <si>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</si>
  <si>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</si>
  <si>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</si>
  <si>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</si>
  <si>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</si>
  <si>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</si>
  <si>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</si>
  <si>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</si>
  <si>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</si>
  <si>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</si>
  <si>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</si>
  <si>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</si>
  <si>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</si>
  <si>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</si>
  <si>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</si>
  <si>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</si>
  <si>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</si>
  <si>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</si>
  <si>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</si>
  <si>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</si>
  <si>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</si>
  <si>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</si>
  <si>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</si>
  <si>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</si>
  <si>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</si>
  <si>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</si>
  <si>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</si>
  <si>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</si>
  <si>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</si>
  <si>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</si>
  <si>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</si>
  <si>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</si>
  <si>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</si>
  <si>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</si>
  <si>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</si>
  <si>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</si>
  <si>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</si>
  <si>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</si>
  <si>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</si>
  <si>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</si>
  <si>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</si>
  <si>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</si>
  <si>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</si>
  <si>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</si>
  <si>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</si>
  <si>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</si>
  <si>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</si>
  <si>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</si>
  <si>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</si>
  <si>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</si>
  <si>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</si>
  <si>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</si>
  <si>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</si>
  <si>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</si>
  <si>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</si>
  <si>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</si>
  <si>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</si>
  <si>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</si>
  <si>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</si>
  <si>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</si>
  <si>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</si>
  <si>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</si>
  <si>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</si>
  <si>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</si>
  <si>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</si>
  <si>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</si>
  <si>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</si>
  <si>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</si>
  <si>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</si>
  <si>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</si>
  <si>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</si>
  <si>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</si>
  <si>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</si>
  <si>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</si>
  <si>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</si>
  <si>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</si>
  <si>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</si>
  <si>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</si>
  <si>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</si>
  <si>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</si>
  <si>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</si>
  <si>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</si>
  <si>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</si>
  <si>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</si>
  <si>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</si>
  <si>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</si>
  <si>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</si>
  <si>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</si>
  <si>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</si>
  <si>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</si>
  <si>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</si>
  <si>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</si>
  <si>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</si>
  <si>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</si>
  <si>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</si>
  <si>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</si>
  <si>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</si>
  <si>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</si>
  <si>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</si>
  <si>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</si>
  <si>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</si>
  <si>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</si>
  <si>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</si>
  <si>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</si>
  <si>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</si>
  <si>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</si>
  <si>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</si>
  <si>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</si>
  <si>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</si>
  <si>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</si>
  <si>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</si>
  <si>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</si>
  <si>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</si>
  <si>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</si>
  <si>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</si>
  <si>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</si>
  <si>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</si>
  <si>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</si>
  <si>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</si>
  <si>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</si>
  <si>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</si>
  <si>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</si>
  <si>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</si>
  <si>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</si>
  <si>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</si>
  <si>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</si>
  <si>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</si>
  <si>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</si>
  <si>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</si>
  <si>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</si>
  <si>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</si>
  <si>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</si>
  <si>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</si>
  <si>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</si>
  <si>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</si>
  <si>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</si>
  <si>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</si>
  <si>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</si>
  <si>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</si>
  <si>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</si>
  <si>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</si>
  <si>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</si>
  <si>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</si>
  <si>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</si>
  <si>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</si>
  <si>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</si>
  <si>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</si>
  <si>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</si>
  <si>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</si>
  <si>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</si>
  <si>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</si>
  <si>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</si>
  <si>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</si>
  <si>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</si>
  <si>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</si>
  <si>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</si>
  <si>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</si>
  <si>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</si>
  <si>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</si>
  <si>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</si>
  <si>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</si>
  <si>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</si>
  <si>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</si>
  <si>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</si>
  <si>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</si>
  <si>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</si>
  <si>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</si>
  <si>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</si>
  <si>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</si>
  <si>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</si>
  <si>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</si>
  <si>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</si>
  <si>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</si>
  <si>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</si>
  <si>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</si>
  <si>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</si>
  <si>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</si>
  <si>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</si>
  <si>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</si>
  <si>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</si>
  <si>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</si>
  <si>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</si>
  <si>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</si>
  <si>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</si>
  <si>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</si>
  <si>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</si>
  <si>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</si>
  <si>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</si>
  <si>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</si>
  <si>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</si>
  <si>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</si>
  <si>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</si>
  <si>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</si>
  <si>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</si>
  <si>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</si>
  <si>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</si>
  <si>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</si>
  <si>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</si>
  <si>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</si>
  <si>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</si>
  <si>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</si>
  <si>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</si>
  <si>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</si>
  <si>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</si>
  <si>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</si>
  <si>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</si>
  <si>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</si>
  <si>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</si>
  <si>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</si>
  <si>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</si>
  <si>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</si>
  <si>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</si>
  <si>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</si>
  <si>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</si>
  <si>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</si>
  <si>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</si>
  <si>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</si>
  <si>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</si>
  <si>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</si>
  <si>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</si>
  <si>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</si>
  <si>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</si>
  <si>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</si>
  <si>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</si>
  <si>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</si>
  <si>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</si>
  <si>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</si>
  <si>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</si>
  <si>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</si>
  <si>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</si>
  <si>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</si>
  <si>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</si>
  <si>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</si>
  <si>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</si>
  <si>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</si>
  <si>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</si>
  <si>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</si>
  <si>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</si>
  <si>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</si>
  <si>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</si>
  <si>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</si>
  <si>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</si>
  <si>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</si>
  <si>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</si>
  <si>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</si>
  <si>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</si>
  <si>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</si>
  <si>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</si>
  <si>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</si>
  <si>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</si>
  <si>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</si>
  <si>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</si>
  <si>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</si>
  <si>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</si>
  <si>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</si>
  <si>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</si>
  <si>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</si>
  <si>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</si>
  <si>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</si>
  <si>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</si>
  <si>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</si>
  <si>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</si>
  <si>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</si>
  <si>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</si>
  <si>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</si>
  <si>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</si>
  <si>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</si>
  <si>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</si>
  <si>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</si>
  <si>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</si>
  <si>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</si>
  <si>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</si>
  <si>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</si>
  <si>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</si>
  <si>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</si>
  <si>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</si>
  <si>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</si>
  <si>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</si>
  <si>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</si>
  <si>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</si>
  <si>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</si>
  <si>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</si>
  <si>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</si>
  <si>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</si>
  <si>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</si>
  <si>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</si>
  <si>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</si>
  <si>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</si>
  <si>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</si>
  <si>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</si>
  <si>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</si>
  <si>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</si>
  <si>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</si>
  <si>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</si>
  <si>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</si>
  <si>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</si>
  <si>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</si>
  <si>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</si>
  <si>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</si>
  <si>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</si>
  <si>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</si>
  <si>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</si>
  <si>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</si>
  <si>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</si>
  <si>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</si>
  <si>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</si>
  <si>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</si>
  <si>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</si>
  <si>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</si>
  <si>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</si>
  <si>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</si>
  <si>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</si>
  <si>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</si>
  <si>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</si>
  <si>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</si>
  <si>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</si>
  <si>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</si>
  <si>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</si>
  <si>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</si>
  <si>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</si>
  <si>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</si>
  <si>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</si>
  <si>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</si>
  <si>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</si>
  <si>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</si>
  <si>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</si>
  <si>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</si>
  <si>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</si>
  <si>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</si>
  <si>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</si>
  <si>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</si>
  <si>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</si>
  <si>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</si>
  <si>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</si>
  <si>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</si>
  <si>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</si>
  <si>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</si>
  <si>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</si>
  <si>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</si>
  <si>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</si>
  <si>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</si>
  <si>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</si>
  <si>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</si>
  <si>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</si>
  <si>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</si>
  <si>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</si>
  <si>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</si>
  <si>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</si>
  <si>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</si>
  <si>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</si>
  <si>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</si>
  <si>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</si>
  <si>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</si>
  <si>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</si>
  <si>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</si>
  <si>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</si>
  <si>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</si>
  <si>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</si>
  <si>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</si>
  <si>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</si>
  <si>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</si>
  <si>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</si>
  <si>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</si>
  <si>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</si>
  <si>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</si>
  <si>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</si>
  <si>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</si>
  <si>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</si>
  <si>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</si>
  <si>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</si>
  <si>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</si>
  <si>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</si>
  <si>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</si>
  <si>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</si>
  <si>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</si>
  <si>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</si>
  <si>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</si>
  <si>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</si>
  <si>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</si>
  <si>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</si>
  <si>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</si>
  <si>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</si>
  <si>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</si>
  <si>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</si>
  <si>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</si>
  <si>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</si>
  <si>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</si>
  <si>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</si>
  <si>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</si>
  <si>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</si>
  <si>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</si>
  <si>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</si>
  <si>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</si>
  <si>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</si>
  <si>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</si>
  <si>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</si>
  <si>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</si>
  <si>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</si>
  <si>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</si>
  <si>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</si>
  <si>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</si>
  <si>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</si>
  <si>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</si>
  <si>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</si>
  <si>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</si>
  <si>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</si>
  <si>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</si>
  <si>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</si>
  <si>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</si>
  <si>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</si>
  <si>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</si>
  <si>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</si>
  <si>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</si>
  <si>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</si>
  <si>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</si>
  <si>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</si>
  <si>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</si>
  <si>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</si>
  <si>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</si>
  <si>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</si>
  <si>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</si>
  <si>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</si>
  <si>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</si>
  <si>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</si>
  <si>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</si>
  <si>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</si>
  <si>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</si>
  <si>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</si>
  <si>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</si>
  <si>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</si>
  <si>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</si>
  <si>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</si>
  <si>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</si>
  <si>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</si>
  <si>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</si>
  <si>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</si>
  <si>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</si>
  <si>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</si>
  <si>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</si>
  <si>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</si>
  <si>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</si>
  <si>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</si>
  <si>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</si>
  <si>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</si>
  <si>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</si>
  <si>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</si>
  <si>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</si>
  <si>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</si>
  <si>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</si>
  <si>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numbers</t>
  </si>
  <si>
    <t>Total Amount</t>
  </si>
  <si>
    <t>Total Duration</t>
  </si>
  <si>
    <t>Avg. Rating</t>
  </si>
  <si>
    <t>5* call</t>
  </si>
  <si>
    <t>Row Labels</t>
  </si>
  <si>
    <t>Grand Total</t>
  </si>
  <si>
    <t>Jan</t>
  </si>
  <si>
    <t>Feb</t>
  </si>
  <si>
    <t>Mar</t>
  </si>
  <si>
    <t>Apr</t>
  </si>
  <si>
    <t>May</t>
  </si>
  <si>
    <t>Jun</t>
  </si>
  <si>
    <t>Jul</t>
  </si>
  <si>
    <t>Aug</t>
  </si>
  <si>
    <t>Sep</t>
  </si>
  <si>
    <t>Oct</t>
  </si>
  <si>
    <t>Nov</t>
  </si>
  <si>
    <t>Dec</t>
  </si>
  <si>
    <t>Count of Call number</t>
  </si>
  <si>
    <t>Count of Call number2</t>
  </si>
  <si>
    <t>Friday</t>
  </si>
  <si>
    <t>Monday</t>
  </si>
  <si>
    <t>Saturday</t>
  </si>
  <si>
    <t>Sunday</t>
  </si>
  <si>
    <t>Thursday</t>
  </si>
  <si>
    <t>Tuesday</t>
  </si>
  <si>
    <t>Wednesday</t>
  </si>
  <si>
    <t>Sum of Purchase Amount</t>
  </si>
  <si>
    <t>sample</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</si>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</sst>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409]#,##0"/>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3">
    <fill>
      <patternFill patternType="none"/>
    </fill>
    <fill>
      <patternFill patternType="gray125"/>
    </fill>
    <fill>
      <patternFill patternType="solid">
        <fgColor theme="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7" fontId="0" fillId="0" borderId="0" xfId="0" applyNumberFormat="1"/>
    <xf numFmtId="0" fontId="0" fillId="0" borderId="0" xfId="0" applyNumberFormat="1"/>
  </cellXfs>
  <cellStyles count="1">
    <cellStyle name="Normal" xfId="0" builtinId="0"/>
  </cellStyles>
  <dxfs count="30">
    <dxf>
      <fill>
        <patternFill>
          <bgColor theme="8" tint="0.79998168889431442"/>
        </patternFill>
      </fill>
    </dxf>
    <dxf>
      <fill>
        <patternFill>
          <bgColor theme="8" tint="0.59996337778862885"/>
        </patternFill>
      </fill>
    </dxf>
    <dxf>
      <fill>
        <patternFill>
          <bgColor theme="7" tint="0.79998168889431442"/>
        </patternFill>
      </fill>
    </dxf>
    <dxf>
      <fill>
        <patternFill>
          <bgColor theme="7" tint="0.79998168889431442"/>
        </patternFill>
      </fill>
    </dxf>
    <dxf>
      <fill>
        <patternFill>
          <bgColor theme="7" tint="0.7999816888943144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rgb="FF4F81BD"/>
        </bottom>
        <vertical/>
        <horizontal/>
      </border>
    </dxf>
    <dxf>
      <font>
        <color theme="1"/>
      </font>
      <border diagonalUp="0" diagonalDown="0">
        <left style="thin">
          <color theme="2"/>
        </left>
        <right style="thin">
          <color theme="2"/>
        </right>
        <top style="thin">
          <color theme="2"/>
        </top>
        <bottom style="thin">
          <color theme="2"/>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Slicer Style 1" pivot="0" table="0" count="1" xr9:uid="{25BABDA2-DB3D-41F6-98D0-3EE7CBB0176F}">
      <tableStyleElement type="wholeTable" dxfId="29"/>
    </tableStyle>
    <tableStyle name="SlicerStyleLight1 2" pivot="0" table="0" count="10" xr9:uid="{4F3225D4-6C80-4460-BE3E-691D539B102F}">
      <tableStyleElement type="wholeTable" dxfId="28"/>
      <tableStyleElement type="headerRow" dxfId="27"/>
    </tableStyle>
    <tableStyle name="SlicerStyleLight1 3" pivot="0" table="0" count="10" xr9:uid="{89CE256A-E665-4AD9-A24A-FCE7E67887EF}">
      <tableStyleElement type="wholeTable" dxfId="26"/>
      <tableStyleElement type="headerRow" dxfId="25"/>
    </tableStyle>
    <tableStyle name="SlicerStyleLight1 4" pivot="0" table="0" count="10" xr9:uid="{175152FF-D5FA-43B9-B17C-2A5515017A63}">
      <tableStyleElement type="wholeTable" dxfId="24"/>
      <tableStyleElement type="headerRow" dxfId="23"/>
    </tableStyle>
    <tableStyle name="SlicerStyleLight1 5" pivot="0" table="0" count="10" xr9:uid="{831C146E-0D6A-4C0A-8DF1-9100D4027E7A}">
      <tableStyleElement type="wholeTable" dxfId="22"/>
      <tableStyleElement type="headerRow" dxfId="21"/>
    </tableStyle>
    <tableStyle name="SlicerStyleOther2 2" pivot="0" table="0" count="10" xr9:uid="{5612C374-02A6-447F-AAF4-3D6DAAFCE2B6}">
      <tableStyleElement type="wholeTable" dxfId="20"/>
      <tableStyleElement type="headerRow" dxfId="19"/>
    </tableStyle>
  </tableStyles>
  <extLst>
    <ext xmlns:x14="http://schemas.microsoft.com/office/spreadsheetml/2009/9/main" uri="{46F421CA-312F-682f-3DD2-61675219B42D}">
      <x14:dxfs count="40">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[excel-portfolio-project.xlsx]Sheet4!Weekly </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alpha val="96000"/>
            </a:srgbClr>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Sheet4!$G$18</c:f>
              <c:strCache>
                <c:ptCount val="1"/>
                <c:pt idx="0">
                  <c:v>Total</c:v>
                </c:pt>
              </c:strCache>
            </c:strRef>
          </c:tx>
          <c:spPr>
            <a:solidFill>
              <a:srgbClr val="0070C0">
                <a:alpha val="96000"/>
              </a:srgbClr>
            </a:solidFill>
            <a:ln>
              <a:solidFill>
                <a:srgbClr val="0070C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Sheet4!$F$19:$F$26</c:f>
              <c:strCache>
                <c:ptCount val="7"/>
                <c:pt idx="0">
                  <c:v>Saturday</c:v>
                </c:pt>
                <c:pt idx="1">
                  <c:v>Friday</c:v>
                </c:pt>
                <c:pt idx="2">
                  <c:v>Thursday</c:v>
                </c:pt>
                <c:pt idx="3">
                  <c:v>Wednesday</c:v>
                </c:pt>
                <c:pt idx="4">
                  <c:v>Tuesday</c:v>
                </c:pt>
                <c:pt idx="5">
                  <c:v>Monday</c:v>
                </c:pt>
                <c:pt idx="6">
                  <c:v>Sunday</c:v>
                </c:pt>
              </c:strCache>
            </c:strRef>
          </c:cat>
          <c:val>
            <c:numRef>
              <c:f>Sheet4!$G$19:$G$26</c:f>
              <c:numCache>
                <c:formatCode>General</c:formatCode>
                <c:ptCount val="7"/>
                <c:pt idx="0">
                  <c:v>24</c:v>
                </c:pt>
                <c:pt idx="1">
                  <c:v>29</c:v>
                </c:pt>
                <c:pt idx="2">
                  <c:v>33</c:v>
                </c:pt>
                <c:pt idx="3">
                  <c:v>36</c:v>
                </c:pt>
                <c:pt idx="4">
                  <c:v>44</c:v>
                </c:pt>
                <c:pt idx="5">
                  <c:v>24</c:v>
                </c:pt>
                <c:pt idx="6">
                  <c:v>28</c:v>
                </c:pt>
              </c:numCache>
            </c:numRef>
          </c:val>
          <c:extLst>
            <c:ext xmlns:c16="http://schemas.microsoft.com/office/drawing/2014/chart" uri="{C3380CC4-5D6E-409C-BE32-E72D297353CC}">
              <c16:uniqueId val="{00000000-A662-4313-BF5F-C840F96FE1E5}"/>
            </c:ext>
          </c:extLst>
        </c:ser>
        <c:dLbls>
          <c:dLblPos val="outEnd"/>
          <c:showLegendKey val="0"/>
          <c:showVal val="1"/>
          <c:showCatName val="0"/>
          <c:showSerName val="0"/>
          <c:showPercent val="0"/>
          <c:showBubbleSize val="0"/>
        </c:dLbls>
        <c:gapWidth val="182"/>
        <c:axId val="1564082336"/>
        <c:axId val="1564084736"/>
      </c:barChart>
      <c:catAx>
        <c:axId val="1564082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84736"/>
        <c:crosses val="autoZero"/>
        <c:auto val="1"/>
        <c:lblAlgn val="ctr"/>
        <c:lblOffset val="100"/>
        <c:noMultiLvlLbl val="0"/>
      </c:catAx>
      <c:valAx>
        <c:axId val="1564084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8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[excel-portfolio-project.xlsx]Sheet4!monthly</c:name>
    <c:fmtId val="7"/>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IN" b="1">
                <a:solidFill>
                  <a:srgbClr val="0070C0"/>
                </a:solidFill>
              </a:rPr>
              <a:t>Call Trend</a:t>
            </a:r>
          </a:p>
        </c:rich>
      </c:tx>
      <c:layout>
        <c:manualLayout>
          <c:xMode val="edge"/>
          <c:yMode val="edge"/>
          <c:x val="5.2083333333333343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0070C0"/>
            </a:solidFill>
            <a:round/>
          </a:ln>
          <a:effectLst/>
        </c:spPr>
        <c:marker>
          <c:symbol val="diamond"/>
          <c:size val="7"/>
          <c:spPr>
            <a:solidFill>
              <a:schemeClr val="bg1">
                <a:alpha val="85000"/>
              </a:schemeClr>
            </a:solidFill>
            <a:ln w="190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0070C0"/>
              </a:gs>
              <a:gs pos="33000">
                <a:srgbClr val="0070C0"/>
              </a:gs>
              <a:gs pos="81000">
                <a:schemeClr val="accent1">
                  <a:lumMod val="45000"/>
                  <a:lumOff val="55000"/>
                </a:schemeClr>
              </a:gs>
              <a:gs pos="100000">
                <a:schemeClr val="accent1">
                  <a:lumMod val="30000"/>
                  <a:lumOff val="70000"/>
                </a:schemeClr>
              </a:gs>
            </a:gsLst>
            <a:lin ang="5400000" scaled="1"/>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a:solidFill>
              <a:srgbClr val="0070C0"/>
            </a:solidFill>
            <a:round/>
          </a:ln>
          <a:effectLst/>
        </c:spPr>
        <c:marker>
          <c:symbol val="diamond"/>
          <c:size val="7"/>
          <c:spPr>
            <a:solidFill>
              <a:schemeClr val="bg1">
                <a:alpha val="85000"/>
              </a:schemeClr>
            </a:solidFill>
            <a:ln w="12700">
              <a:solidFill>
                <a:schemeClr val="tx1"/>
              </a:solidFill>
            </a:ln>
            <a:effectLst/>
          </c:spPr>
        </c:marker>
      </c:pivotFmt>
    </c:pivotFmts>
    <c:plotArea>
      <c:layout/>
      <c:areaChart>
        <c:grouping val="standard"/>
        <c:varyColors val="0"/>
        <c:ser>
          <c:idx val="1"/>
          <c:order val="1"/>
          <c:tx>
            <c:strRef>
              <c:f>Sheet4!$C$17</c:f>
              <c:strCache>
                <c:ptCount val="1"/>
                <c:pt idx="0">
                  <c:v>Count of Call number2</c:v>
                </c:pt>
              </c:strCache>
            </c:strRef>
          </c:tx>
          <c:spPr>
            <a:gradFill>
              <a:gsLst>
                <a:gs pos="0">
                  <a:srgbClr val="0070C0"/>
                </a:gs>
                <a:gs pos="33000">
                  <a:srgbClr val="0070C0"/>
                </a:gs>
                <a:gs pos="81000">
                  <a:schemeClr val="accent1">
                    <a:lumMod val="45000"/>
                    <a:lumOff val="55000"/>
                  </a:schemeClr>
                </a:gs>
                <a:gs pos="100000">
                  <a:schemeClr val="accent1">
                    <a:lumMod val="30000"/>
                    <a:lumOff val="70000"/>
                  </a:schemeClr>
                </a:gs>
              </a:gsLst>
              <a:lin ang="5400000" scaled="1"/>
            </a:gradFill>
            <a:ln>
              <a:solidFill>
                <a:schemeClr val="accent1"/>
              </a:solidFill>
            </a:ln>
            <a:effectLst/>
          </c:spPr>
          <c:cat>
            <c:strRef>
              <c:f>Sheet4!$A$18:$A$30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Sheet4!$C$18:$C$30</c:f>
              <c:numCache>
                <c:formatCode>General</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1-7023-431B-B9A2-E3A5EBDF8265}"/>
            </c:ext>
          </c:extLst>
        </c:ser>
        <c:dLbls>
          <c:showLegendKey val="0"/>
          <c:showVal val="0"/>
          <c:showCatName val="0"/>
          <c:showSerName val="0"/>
          <c:showPercent val="0"/>
          <c:showBubbleSize val="0"/>
        </c:dLbls>
        <c:axId val="806058704"/>
        <c:axId val="806069264"/>
      </c:areaChart>
      <c:lineChart>
        <c:grouping val="standard"/>
        <c:varyColors val="0"/>
        <c:ser>
          <c:idx val="0"/>
          <c:order val="0"/>
          <c:tx>
            <c:strRef>
              <c:f>Sheet4!$B$17</c:f>
              <c:strCache>
                <c:ptCount val="1"/>
                <c:pt idx="0">
                  <c:v>Count of Call number</c:v>
                </c:pt>
              </c:strCache>
            </c:strRef>
          </c:tx>
          <c:spPr>
            <a:ln w="25400" cap="rnd">
              <a:solidFill>
                <a:srgbClr val="0070C0"/>
              </a:solidFill>
              <a:round/>
            </a:ln>
            <a:effectLst/>
          </c:spPr>
          <c:marker>
            <c:symbol val="diamond"/>
            <c:size val="7"/>
            <c:spPr>
              <a:solidFill>
                <a:schemeClr val="bg1">
                  <a:alpha val="85000"/>
                </a:schemeClr>
              </a:solidFill>
              <a:ln w="19050">
                <a:solidFill>
                  <a:schemeClr val="tx1"/>
                </a:solidFill>
              </a:ln>
              <a:effectLst/>
            </c:spPr>
          </c:marker>
          <c:dPt>
            <c:idx val="0"/>
            <c:marker>
              <c:symbol val="diamond"/>
              <c:size val="7"/>
              <c:spPr>
                <a:solidFill>
                  <a:schemeClr val="bg1">
                    <a:alpha val="85000"/>
                  </a:schemeClr>
                </a:solidFill>
                <a:ln w="12700">
                  <a:solidFill>
                    <a:schemeClr val="tx1"/>
                  </a:solidFill>
                </a:ln>
                <a:effectLst/>
              </c:spPr>
            </c:marker>
            <c:bubble3D val="0"/>
            <c:extLst>
              <c:ext xmlns:c16="http://schemas.microsoft.com/office/drawing/2014/chart" uri="{C3380CC4-5D6E-409C-BE32-E72D297353CC}">
                <c16:uniqueId val="{00000002-7023-431B-B9A2-E3A5EBDF8265}"/>
              </c:ext>
            </c:extLst>
          </c:dPt>
          <c:cat>
            <c:strRef>
              <c:f>Sheet4!$A$18:$A$30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Sheet4!$B$18:$B$30</c:f>
              <c:numCache>
                <c:formatCode>General</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7023-431B-B9A2-E3A5EBDF8265}"/>
            </c:ext>
          </c:extLst>
        </c:ser>
        <c:dLbls>
          <c:showLegendKey val="0"/>
          <c:showVal val="0"/>
          <c:showCatName val="0"/>
          <c:showSerName val="0"/>
          <c:showPercent val="0"/>
          <c:showBubbleSize val="0"/>
        </c:dLbls>
        <c:marker val="1"/>
        <c:smooth val="0"/>
        <c:axId val="806058704"/>
        <c:axId val="806069264"/>
      </c:lineChart>
      <c:catAx>
        <c:axId val="80605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69264"/>
        <c:crosses val="autoZero"/>
        <c:auto val="1"/>
        <c:lblAlgn val="ctr"/>
        <c:lblOffset val="100"/>
        <c:noMultiLvlLbl val="0"/>
      </c:catAx>
      <c:valAx>
        <c:axId val="80606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5870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IN" b="1">
                <a:solidFill>
                  <a:srgbClr val="0070C0"/>
                </a:solidFill>
              </a:rPr>
              <a:t>Calls</a:t>
            </a:r>
          </a:p>
        </c:rich>
      </c:tx>
      <c:layout>
        <c:manualLayout>
          <c:xMode val="edge"/>
          <c:yMode val="edge"/>
          <c:x val="7.4235353608321897E-2"/>
          <c:y val="3.33333333333333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9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Sheet4!$E$35:$E$39</c:f>
              <c:strCache>
                <c:ptCount val="5"/>
                <c:pt idx="0">
                  <c:v>R01</c:v>
                </c:pt>
                <c:pt idx="1">
                  <c:v>R02</c:v>
                </c:pt>
                <c:pt idx="2">
                  <c:v>R03</c:v>
                </c:pt>
                <c:pt idx="3">
                  <c:v>R04</c:v>
                </c:pt>
                <c:pt idx="4">
                  <c:v>R05</c:v>
                </c:pt>
              </c:strCache>
            </c:strRef>
          </c:cat>
          <c:val>
            <c:numRef>
              <c:f>Sheet4!$F$35:$F$39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84F-4566-93AC-030BA8974611}"/>
            </c:ext>
          </c:extLst>
        </c:ser>
        <c:ser>
          <c:idx val="1"/>
          <c:order val="1"/>
          <c:tx>
            <c:strRef>
              <c:f>Sheet4!$H$34</c:f>
              <c:strCache>
                <c:ptCount val="1"/>
              </c:strCache>
            </c:strRef>
          </c:tx>
          <c:spPr>
            <a:gradFill flip="none" rotWithShape="1">
              <a:gsLst>
                <a:gs pos="0">
                  <a:srgbClr val="0070C0"/>
                </a:gs>
                <a:gs pos="100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Sheet4!$H$35:$H$39</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E84F-4566-93AC-030BA8974611}"/>
            </c:ext>
          </c:extLst>
        </c:ser>
        <c:dLbls>
          <c:dLblPos val="outEnd"/>
          <c:showLegendKey val="0"/>
          <c:showVal val="1"/>
          <c:showCatName val="0"/>
          <c:showSerName val="0"/>
          <c:showPercent val="0"/>
          <c:showBubbleSize val="0"/>
        </c:dLbls>
        <c:gapWidth val="182"/>
        <c:overlap val="100"/>
        <c:axId val="806095184"/>
        <c:axId val="806097584"/>
      </c:barChart>
      <c:catAx>
        <c:axId val="8060951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97584"/>
        <c:crosses val="autoZero"/>
        <c:auto val="1"/>
        <c:lblAlgn val="ctr"/>
        <c:lblOffset val="100"/>
        <c:noMultiLvlLbl val="0"/>
      </c:catAx>
      <c:valAx>
        <c:axId val="806097584"/>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IN" sz="1400" b="1">
                <a:solidFill>
                  <a:srgbClr val="0070C0"/>
                </a:solidFill>
              </a:rPr>
              <a:t>Amount</a:t>
            </a:r>
          </a:p>
        </c:rich>
      </c:tx>
      <c:layout>
        <c:manualLayout>
          <c:xMode val="edge"/>
          <c:yMode val="edge"/>
          <c:x val="7.8042813455657473E-2"/>
          <c:y val="3.30500472143531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9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Sheet4!$E$35:$E$39</c:f>
              <c:strCache>
                <c:ptCount val="5"/>
                <c:pt idx="0">
                  <c:v>R01</c:v>
                </c:pt>
                <c:pt idx="1">
                  <c:v>R02</c:v>
                </c:pt>
                <c:pt idx="2">
                  <c:v>R03</c:v>
                </c:pt>
                <c:pt idx="3">
                  <c:v>R04</c:v>
                </c:pt>
                <c:pt idx="4">
                  <c:v>R05</c:v>
                </c:pt>
              </c:strCache>
            </c:strRef>
          </c:cat>
          <c:val>
            <c:numRef>
              <c:f>Sheet4!$G$35:$G$39</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E40-4492-ACF9-F60CE5A6AE6F}"/>
            </c:ext>
          </c:extLst>
        </c:ser>
        <c:ser>
          <c:idx val="1"/>
          <c:order val="1"/>
          <c:tx>
            <c:strRef>
              <c:f>Sheet4!$I$34</c:f>
              <c:strCache>
                <c:ptCount val="1"/>
              </c:strCache>
            </c:strRef>
          </c:tx>
          <c:spPr>
            <a:gradFill>
              <a:gsLst>
                <a:gs pos="0">
                  <a:srgbClr val="0070C0"/>
                </a:gs>
                <a:gs pos="100000">
                  <a:schemeClr val="accent1">
                    <a:lumMod val="45000"/>
                    <a:lumOff val="55000"/>
                  </a:schemeClr>
                </a:gs>
                <a:gs pos="100000">
                  <a:schemeClr val="accent1">
                    <a:lumMod val="30000"/>
                    <a:lumOff val="70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Sheet4!$I$35:$I$39</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EE40-4492-ACF9-F60CE5A6AE6F}"/>
            </c:ext>
          </c:extLst>
        </c:ser>
        <c:dLbls>
          <c:dLblPos val="outEnd"/>
          <c:showLegendKey val="0"/>
          <c:showVal val="1"/>
          <c:showCatName val="0"/>
          <c:showSerName val="0"/>
          <c:showPercent val="0"/>
          <c:showBubbleSize val="0"/>
        </c:dLbls>
        <c:gapWidth val="182"/>
        <c:overlap val="100"/>
        <c:axId val="806095184"/>
        <c:axId val="806097584"/>
      </c:barChart>
      <c:catAx>
        <c:axId val="8060951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97584"/>
        <c:crosses val="autoZero"/>
        <c:auto val="1"/>
        <c:lblAlgn val="ctr"/>
        <c:lblOffset val="100"/>
        <c:noMultiLvlLbl val="0"/>
      </c:catAx>
      <c:valAx>
        <c:axId val="806097584"/>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[excel-portfolio-project.xlsx]Sheet4!PivotTable7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0070C0"/>
                </a:solidFill>
              </a:rPr>
              <a:t>Female vs Male Callers</a:t>
            </a:r>
          </a:p>
        </c:rich>
      </c:tx>
      <c:layout>
        <c:manualLayout>
          <c:xMode val="edge"/>
          <c:yMode val="edge"/>
          <c:x val="0.11621887317848709"/>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32019115890077E-2"/>
          <c:y val="0.17685185185185184"/>
          <c:w val="0.86857825567502989"/>
          <c:h val="0.64340575483620099"/>
        </c:manualLayout>
      </c:layout>
      <c:barChart>
        <c:barDir val="col"/>
        <c:grouping val="stacked"/>
        <c:varyColors val="0"/>
        <c:ser>
          <c:idx val="0"/>
          <c:order val="0"/>
          <c:tx>
            <c:strRef>
              <c:f>Sheet4!$B$46:$B$47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Sheet4!$A$48:$A$51</c:f>
              <c:strCache>
                <c:ptCount val="3"/>
                <c:pt idx="0">
                  <c:v>Cincinnati</c:v>
                </c:pt>
                <c:pt idx="1">
                  <c:v>Cleveland</c:v>
                </c:pt>
                <c:pt idx="2">
                  <c:v>Columbus</c:v>
                </c:pt>
              </c:strCache>
            </c:strRef>
          </c:cat>
          <c:val>
            <c:numRef>
              <c:f>Sheet4!$B$48:$B$51</c:f>
              <c:numCache>
                <c:formatCode>General</c:formatCode>
                <c:ptCount val="3"/>
                <c:pt idx="0">
                  <c:v>144</c:v>
                </c:pt>
                <c:pt idx="1">
                  <c:v>326</c:v>
                </c:pt>
                <c:pt idx="2">
                  <c:v>129</c:v>
                </c:pt>
              </c:numCache>
            </c:numRef>
          </c:val>
          <c:extLst>
            <c:ext xmlns:c16="http://schemas.microsoft.com/office/drawing/2014/chart" uri="{C3380CC4-5D6E-409C-BE32-E72D297353CC}">
              <c16:uniqueId val="{00000000-C806-4D2B-9AB0-2F543AD0027D}"/>
            </c:ext>
          </c:extLst>
        </c:ser>
        <c:ser>
          <c:idx val="1"/>
          <c:order val="1"/>
          <c:tx>
            <c:strRef>
              <c:f>Sheet4!$C$46:$C$47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Sheet4!$A$48:$A$51</c:f>
              <c:strCache>
                <c:ptCount val="3"/>
                <c:pt idx="0">
                  <c:v>Cincinnati</c:v>
                </c:pt>
                <c:pt idx="1">
                  <c:v>Cleveland</c:v>
                </c:pt>
                <c:pt idx="2">
                  <c:v>Columbus</c:v>
                </c:pt>
              </c:strCache>
            </c:strRef>
          </c:cat>
          <c:val>
            <c:numRef>
              <c:f>Sheet4!$C$48:$C$51</c:f>
              <c:numCache>
                <c:formatCode>General</c:formatCode>
                <c:ptCount val="3"/>
                <c:pt idx="0">
                  <c:v>132</c:v>
                </c:pt>
                <c:pt idx="1">
                  <c:v>63</c:v>
                </c:pt>
                <c:pt idx="2">
                  <c:v>206</c:v>
                </c:pt>
              </c:numCache>
            </c:numRef>
          </c:val>
          <c:extLst>
            <c:ext xmlns:c16="http://schemas.microsoft.com/office/drawing/2014/chart" uri="{C3380CC4-5D6E-409C-BE32-E72D297353CC}">
              <c16:uniqueId val="{00000001-C806-4D2B-9AB0-2F543AD0027D}"/>
            </c:ext>
          </c:extLst>
        </c:ser>
        <c:dLbls>
          <c:dLblPos val="ctr"/>
          <c:showLegendKey val="0"/>
          <c:showVal val="1"/>
          <c:showCatName val="0"/>
          <c:showSerName val="0"/>
          <c:showPercent val="0"/>
          <c:showBubbleSize val="0"/>
        </c:dLbls>
        <c:gapWidth val="25"/>
        <c:overlap val="100"/>
        <c:axId val="1790883184"/>
        <c:axId val="1790883664"/>
      </c:barChart>
      <c:catAx>
        <c:axId val="1790883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83664"/>
        <c:crosses val="autoZero"/>
        <c:auto val="1"/>
        <c:lblAlgn val="ctr"/>
        <c:lblOffset val="100"/>
        <c:noMultiLvlLbl val="0"/>
      </c:catAx>
      <c:valAx>
        <c:axId val="1790883664"/>
        <c:scaling>
          <c:orientation val="minMax"/>
        </c:scaling>
        <c:delete val="1"/>
        <c:axPos val="l"/>
        <c:numFmt formatCode="General" sourceLinked="1"/>
        <c:majorTickMark val="out"/>
        <c:minorTickMark val="none"/>
        <c:tickLblPos val="nextTo"/>
        <c:crossAx val="179088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[excel-portfolio-project.xlsx]Sheet4!PivotTable8</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Sheet4!$B$54</c:f>
              <c:strCache>
                <c:ptCount val="1"/>
                <c:pt idx="0">
                  <c:v>Total</c:v>
                </c:pt>
              </c:strCache>
            </c:strRef>
          </c:tx>
          <c:spPr>
            <a:solidFill>
              <a:schemeClr val="accent1"/>
            </a:solidFill>
            <a:ln>
              <a:noFill/>
            </a:ln>
            <a:effectLst/>
          </c:spPr>
          <c:invertIfNegative val="0"/>
          <c:cat>
            <c:strRef>
              <c:f>Sheet4!$A$55:$A$60</c:f>
              <c:strCache>
                <c:ptCount val="5"/>
                <c:pt idx="0">
                  <c:v>1</c:v>
                </c:pt>
                <c:pt idx="1">
                  <c:v>2</c:v>
                </c:pt>
                <c:pt idx="2">
                  <c:v>3</c:v>
                </c:pt>
                <c:pt idx="3">
                  <c:v>4</c:v>
                </c:pt>
                <c:pt idx="4">
                  <c:v>5</c:v>
                </c:pt>
              </c:strCache>
            </c:strRef>
          </c:cat>
          <c:val>
            <c:numRef>
              <c:f>Sheet4!$B$55:$B$60</c:f>
              <c:numCache>
                <c:formatCode>General</c:formatCode>
                <c:ptCount val="5"/>
                <c:pt idx="0">
                  <c:v>3</c:v>
                </c:pt>
                <c:pt idx="1">
                  <c:v>19</c:v>
                </c:pt>
                <c:pt idx="2">
                  <c:v>35</c:v>
                </c:pt>
                <c:pt idx="3">
                  <c:v>87</c:v>
                </c:pt>
                <c:pt idx="4">
                  <c:v>74</c:v>
                </c:pt>
              </c:numCache>
            </c:numRef>
          </c:val>
          <c:extLst>
            <c:ext xmlns:c16="http://schemas.microsoft.com/office/drawing/2014/chart" uri="{C3380CC4-5D6E-409C-BE32-E72D297353CC}">
              <c16:uniqueId val="{00000000-48EF-4D5D-AE41-6FF560ED177A}"/>
            </c:ext>
          </c:extLst>
        </c:ser>
        <c:dLbls>
          <c:showLegendKey val="0"/>
          <c:showVal val="0"/>
          <c:showCatName val="0"/>
          <c:showSerName val="0"/>
          <c:showPercent val="0"/>
          <c:showBubbleSize val="0"/>
        </c:dLbls>
        <c:gapWidth val="219"/>
        <c:overlap val="-27"/>
        <c:axId val="1790899984"/>
        <c:axId val="1790900464"/>
      </c:barChart>
      <c:catAx>
        <c:axId val="1790899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00464"/>
        <c:crosses val="autoZero"/>
        <c:auto val="1"/>
        <c:lblAlgn val="ctr"/>
        <c:lblOffset val="100"/>
        <c:noMultiLvlLbl val="0"/>
      </c:catAx>
      <c:valAx>
        <c:axId val="179090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9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4</xdr:row>
      <xdr:rowOff>53340</xdr:rowOff>
    </xdr:from>
    <xdr:to>
      <xdr:col>8</xdr:col>
      <xdr:colOff>647700</xdr:colOff>
      <xdr:row>18</xdr:row>
      <xdr:rowOff>74295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48E3D2AE-CAD0-12AC-5863-38C6EA93A6D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516880" y="784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99060</xdr:colOff>
      <xdr:row>1</xdr:row>
      <xdr:rowOff>167640</xdr:rowOff>
    </xdr:from>
    <xdr:to>
      <xdr:col>11</xdr:col>
      <xdr:colOff>365760</xdr:colOff>
      <xdr:row>12</xdr:row>
      <xdr:rowOff>152400</xdr:rowOff>
    </xdr:to>
    <xdr:graphicFrame macro="">
      <xdr:nvGraphicFramePr>
        <xdr:cNvPr id="7" name="Chart 6">
          <a:extLst>
            <a:ext uri="{FF2B5EF4-FFF2-40B4-BE49-F238E27FC236}">
              <a16:creationId xmlns:a16="http://schemas.microsoft.com/office/drawing/2014/main" id="{97D77410-C6E5-4CAF-A6A9-9E0A38BC2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320040</xdr:colOff>
      <xdr:row>1</xdr:row>
      <xdr:rowOff>144780</xdr:rowOff>
    </xdr:from>
    <xdr:to>
      <xdr:col>2</xdr:col>
      <xdr:colOff>99060</xdr:colOff>
      <xdr:row>5</xdr:row>
      <xdr:rowOff>160020</xdr:rowOff>
    </xdr:to>
    <xdr:sp macro="" textlink="Sheet4!A4">
      <xdr:nvSpPr>
        <xdr:cNvPr id="2" name="Rectangle 1">
          <a:extLst>
            <a:ext uri="{FF2B5EF4-FFF2-40B4-BE49-F238E27FC236}">
              <a16:creationId xmlns:a16="http://schemas.microsoft.com/office/drawing/2014/main" id="{2CB71779-54DC-878A-481E-B7EB39AA3F1E}"/>
            </a:ext>
          </a:extLst>
        </xdr:cNvPr>
        <xdr:cNvSpPr/>
      </xdr:nvSpPr>
      <xdr:spPr>
        <a:xfrm>
          <a:off x="320040" y="327660"/>
          <a:ext cx="1120140" cy="746760"/>
        </a:xfrm>
        <a:prstGeom prst="rect">
          <a:avLst/>
        </a:prstGeom>
        <a:solidFill>
          <a:schemeClr val="accent1"/>
        </a:solidFill>
        <a:effectLst>
          <a:glow>
            <a:schemeClr val="accent1"/>
          </a:glow>
          <a:outerShdw blurRad="127000" dir="5400000" algn="ctr" rotWithShape="0">
            <a:srgbClr val="000000">
              <a:alpha val="50000"/>
            </a:srgbClr>
          </a:outerShdw>
          <a:reflection endPos="0" dist="50800" dir="5400000" sy="-100000" algn="bl" rotWithShape="0"/>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8BB0C7-FBC1-4218-9C82-3E4B38A6B27C}" type="TxLink">
            <a:rPr lang="en-US" sz="1800" b="0" i="0" u="none" strike="noStrike">
              <a:solidFill>
                <a:schemeClr val="bg1">
                  <a:lumMod val="95000"/>
                </a:schemeClr>
              </a:solidFill>
              <a:latin typeface="Aptos"/>
            </a:rPr>
            <a:pPr algn="ctr"/>
            <a:t>1,000</a:t>
          </a:fld>
          <a:endParaRPr lang="en-US" sz="1800">
            <a:solidFill>
              <a:schemeClr val="bg1">
                <a:lumMod val="95000"/>
              </a:schemeClr>
            </a:solidFill>
          </a:endParaRPr>
        </a:p>
      </xdr:txBody>
    </xdr:sp>
    <xdr:clientData/>
  </xdr:twoCellAnchor>
  <xdr:twoCellAnchor>
    <xdr:from>
      <xdr:col>0</xdr:col>
      <xdr:colOff>502920</xdr:colOff>
      <xdr:row>2</xdr:row>
      <xdr:rowOff>15240</xdr:rowOff>
    </xdr:from>
    <xdr:to>
      <xdr:col>1</xdr:col>
      <xdr:colOff>601980</xdr:colOff>
      <xdr:row>3</xdr:row>
      <xdr:rowOff>38100</xdr:rowOff>
    </xdr:to>
    <xdr:sp macro="" textlink="">
      <xdr:nvSpPr>
        <xdr:cNvPr id="4" name="TextBox 3">
          <a:extLst>
            <a:ext uri="{FF2B5EF4-FFF2-40B4-BE49-F238E27FC236}">
              <a16:creationId xmlns:a16="http://schemas.microsoft.com/office/drawing/2014/main" id="{71CAAB33-5868-EBCF-2967-43E2A2BC75E7}"/>
            </a:ext>
          </a:extLst>
        </xdr:cNvPr>
        <xdr:cNvSpPr txBox="1"/>
      </xdr:nvSpPr>
      <xdr:spPr>
        <a:xfrm>
          <a:off x="502920" y="381000"/>
          <a:ext cx="769620" cy="20574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Calls</a:t>
          </a:r>
        </a:p>
      </xdr:txBody>
    </xdr:sp>
    <xdr:clientData/>
  </xdr:twoCellAnchor>
  <xdr:twoCellAnchor editAs="oneCell">
    <xdr:from>
      <xdr:col>0</xdr:col>
      <xdr:colOff>396240</xdr:colOff>
      <xdr:row>2</xdr:row>
      <xdr:rowOff>22861</xdr:rowOff>
    </xdr:from>
    <xdr:to>
      <xdr:col>0</xdr:col>
      <xdr:colOff>560239</xdr:colOff>
      <xdr:row>3</xdr:row>
      <xdr:rowOff>1</xdr:rowOff>
    </xdr:to>
    <xdr:pic>
      <xdr:nvPicPr>
        <xdr:cNvPr id="5" name="Graphic 4" descr="Receiver with solid fill">
          <a:extLst>
            <a:ext uri="{FF2B5EF4-FFF2-40B4-BE49-F238E27FC236}">
              <a16:creationId xmlns:a16="http://schemas.microsoft.com/office/drawing/2014/main" id="{7FA6D225-D449-4E5E-9ACB-AED3FF31490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6240" y="388621"/>
          <a:ext cx="163999" cy="160020"/>
        </a:xfrm>
        <a:prstGeom prst="rect">
          <a:avLst/>
        </a:prstGeom>
      </xdr:spPr>
    </xdr:pic>
    <xdr:clientData/>
  </xdr:twoCellAnchor>
  <xdr:twoCellAnchor>
    <xdr:from>
      <xdr:col>0</xdr:col>
      <xdr:colOff>510540</xdr:colOff>
      <xdr:row>4</xdr:row>
      <xdr:rowOff>91440</xdr:rowOff>
    </xdr:from>
    <xdr:to>
      <xdr:col>1</xdr:col>
      <xdr:colOff>563880</xdr:colOff>
      <xdr:row>5</xdr:row>
      <xdr:rowOff>99060</xdr:rowOff>
    </xdr:to>
    <xdr:sp macro="" textlink="Sheet4!A11">
      <xdr:nvSpPr>
        <xdr:cNvPr id="6" name="TextBox 5">
          <a:extLst>
            <a:ext uri="{FF2B5EF4-FFF2-40B4-BE49-F238E27FC236}">
              <a16:creationId xmlns:a16="http://schemas.microsoft.com/office/drawing/2014/main" id="{C2E71146-6098-562B-9A23-23EDAFC13C2B}"/>
            </a:ext>
          </a:extLst>
        </xdr:cNvPr>
        <xdr:cNvSpPr txBox="1"/>
      </xdr:nvSpPr>
      <xdr:spPr>
        <a:xfrm>
          <a:off x="510540" y="822960"/>
          <a:ext cx="723900" cy="1905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6A539-2DEE-427F-B044-0412DCD64B9F}" type="TxLink">
            <a:rPr lang="en-US" sz="1100" b="0" i="0" u="none" strike="noStrike">
              <a:solidFill>
                <a:schemeClr val="bg1">
                  <a:lumMod val="95000"/>
                </a:schemeClr>
              </a:solidFill>
              <a:latin typeface="Aptos"/>
            </a:rPr>
            <a:pPr algn="ctr"/>
            <a:t>218</a:t>
          </a:fld>
          <a:endParaRPr lang="en-IN" sz="1100">
            <a:solidFill>
              <a:schemeClr val="bg1">
                <a:lumMod val="95000"/>
              </a:schemeClr>
            </a:solidFill>
          </a:endParaRPr>
        </a:p>
      </xdr:txBody>
    </xdr:sp>
    <xdr:clientData/>
  </xdr:twoCellAnchor>
  <xdr:twoCellAnchor>
    <xdr:from>
      <xdr:col>0</xdr:col>
      <xdr:colOff>320040</xdr:colOff>
      <xdr:row>8</xdr:row>
      <xdr:rowOff>0</xdr:rowOff>
    </xdr:from>
    <xdr:to>
      <xdr:col>2</xdr:col>
      <xdr:colOff>99060</xdr:colOff>
      <xdr:row>12</xdr:row>
      <xdr:rowOff>15240</xdr:rowOff>
    </xdr:to>
    <xdr:sp macro="" textlink="Sheet4!B4">
      <xdr:nvSpPr>
        <xdr:cNvPr id="15" name="Rectangle 14">
          <a:extLst>
            <a:ext uri="{FF2B5EF4-FFF2-40B4-BE49-F238E27FC236}">
              <a16:creationId xmlns:a16="http://schemas.microsoft.com/office/drawing/2014/main" id="{4FF9CBB1-67FA-444A-B4F2-6A43ECB1D168}"/>
            </a:ext>
          </a:extLst>
        </xdr:cNvPr>
        <xdr:cNvSpPr/>
      </xdr:nvSpPr>
      <xdr:spPr>
        <a:xfrm>
          <a:off x="320040" y="1463040"/>
          <a:ext cx="1120140" cy="746760"/>
        </a:xfrm>
        <a:prstGeom prst="rect">
          <a:avLst/>
        </a:prstGeom>
        <a:solidFill>
          <a:schemeClr val="accent1"/>
        </a:solidFill>
        <a:effectLst>
          <a:glow>
            <a:schemeClr val="accent1"/>
          </a:glow>
          <a:outerShdw blurRad="127000" dir="5400000" algn="ctr" rotWithShape="0">
            <a:srgbClr val="000000">
              <a:alpha val="50000"/>
            </a:srgbClr>
          </a:outerShdw>
          <a:reflection endPos="0" dist="50800" dir="5400000" sy="-100000" algn="bl" rotWithShape="0"/>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1D68CB-BCF8-413F-B0E1-413BABA9D784}" type="TxLink">
            <a:rPr lang="en-US" sz="1400" b="0" i="0" u="none" strike="noStrike">
              <a:ln>
                <a:solidFill>
                  <a:schemeClr val="bg1"/>
                </a:solidFill>
              </a:ln>
              <a:solidFill>
                <a:schemeClr val="bg1"/>
              </a:solidFill>
              <a:latin typeface="Aptos"/>
            </a:rPr>
            <a:pPr algn="ctr"/>
            <a:t>$96,623</a:t>
          </a:fld>
          <a:endParaRPr lang="en-US" sz="2400">
            <a:ln>
              <a:solidFill>
                <a:schemeClr val="bg1"/>
              </a:solidFill>
            </a:ln>
            <a:solidFill>
              <a:schemeClr val="bg1"/>
            </a:solidFill>
          </a:endParaRPr>
        </a:p>
      </xdr:txBody>
    </xdr:sp>
    <xdr:clientData/>
  </xdr:twoCellAnchor>
  <xdr:twoCellAnchor>
    <xdr:from>
      <xdr:col>0</xdr:col>
      <xdr:colOff>518160</xdr:colOff>
      <xdr:row>8</xdr:row>
      <xdr:rowOff>60960</xdr:rowOff>
    </xdr:from>
    <xdr:to>
      <xdr:col>1</xdr:col>
      <xdr:colOff>617220</xdr:colOff>
      <xdr:row>9</xdr:row>
      <xdr:rowOff>83820</xdr:rowOff>
    </xdr:to>
    <xdr:sp macro="" textlink="">
      <xdr:nvSpPr>
        <xdr:cNvPr id="16" name="TextBox 15">
          <a:extLst>
            <a:ext uri="{FF2B5EF4-FFF2-40B4-BE49-F238E27FC236}">
              <a16:creationId xmlns:a16="http://schemas.microsoft.com/office/drawing/2014/main" id="{63EF9DEF-FD8B-49B3-9972-F5366E6E4E28}"/>
            </a:ext>
          </a:extLst>
        </xdr:cNvPr>
        <xdr:cNvSpPr txBox="1"/>
      </xdr:nvSpPr>
      <xdr:spPr>
        <a:xfrm>
          <a:off x="518160" y="1524000"/>
          <a:ext cx="769620" cy="20574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Amount</a:t>
          </a:r>
        </a:p>
      </xdr:txBody>
    </xdr:sp>
    <xdr:clientData/>
  </xdr:twoCellAnchor>
  <xdr:twoCellAnchor>
    <xdr:from>
      <xdr:col>0</xdr:col>
      <xdr:colOff>495300</xdr:colOff>
      <xdr:row>10</xdr:row>
      <xdr:rowOff>129540</xdr:rowOff>
    </xdr:from>
    <xdr:to>
      <xdr:col>1</xdr:col>
      <xdr:colOff>548640</xdr:colOff>
      <xdr:row>11</xdr:row>
      <xdr:rowOff>137160</xdr:rowOff>
    </xdr:to>
    <xdr:sp macro="" textlink="Sheet4!B11">
      <xdr:nvSpPr>
        <xdr:cNvPr id="18" name="TextBox 17">
          <a:extLst>
            <a:ext uri="{FF2B5EF4-FFF2-40B4-BE49-F238E27FC236}">
              <a16:creationId xmlns:a16="http://schemas.microsoft.com/office/drawing/2014/main" id="{31EF8250-EC0F-40A4-B5BC-48F21395BD4E}"/>
            </a:ext>
          </a:extLst>
        </xdr:cNvPr>
        <xdr:cNvSpPr txBox="1"/>
      </xdr:nvSpPr>
      <xdr:spPr>
        <a:xfrm>
          <a:off x="495300" y="1958340"/>
          <a:ext cx="723900" cy="1905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93BD7B-3805-41D9-881B-530BAF2631AD}" type="TxLink">
            <a:rPr lang="en-US" sz="1100" b="0" i="0" u="none" strike="noStrike">
              <a:ln>
                <a:solidFill>
                  <a:schemeClr val="bg1"/>
                </a:solidFill>
              </a:ln>
              <a:solidFill>
                <a:schemeClr val="bg1"/>
              </a:solidFill>
              <a:latin typeface="Aptos"/>
            </a:rPr>
            <a:pPr algn="ctr"/>
            <a:t>$20,581</a:t>
          </a:fld>
          <a:endParaRPr lang="en-IN" sz="1100">
            <a:ln>
              <a:solidFill>
                <a:schemeClr val="bg1"/>
              </a:solidFill>
            </a:ln>
            <a:solidFill>
              <a:schemeClr val="bg1"/>
            </a:solidFill>
          </a:endParaRPr>
        </a:p>
      </xdr:txBody>
    </xdr:sp>
    <xdr:clientData/>
  </xdr:twoCellAnchor>
  <xdr:twoCellAnchor>
    <xdr:from>
      <xdr:col>0</xdr:col>
      <xdr:colOff>320040</xdr:colOff>
      <xdr:row>14</xdr:row>
      <xdr:rowOff>0</xdr:rowOff>
    </xdr:from>
    <xdr:to>
      <xdr:col>2</xdr:col>
      <xdr:colOff>114300</xdr:colOff>
      <xdr:row>18</xdr:row>
      <xdr:rowOff>15240</xdr:rowOff>
    </xdr:to>
    <xdr:sp macro="" textlink="Sheet4!C4">
      <xdr:nvSpPr>
        <xdr:cNvPr id="19" name="Rectangle 18">
          <a:extLst>
            <a:ext uri="{FF2B5EF4-FFF2-40B4-BE49-F238E27FC236}">
              <a16:creationId xmlns:a16="http://schemas.microsoft.com/office/drawing/2014/main" id="{0EF8F30C-93B0-4F62-9571-09BBF802A4D4}"/>
            </a:ext>
          </a:extLst>
        </xdr:cNvPr>
        <xdr:cNvSpPr/>
      </xdr:nvSpPr>
      <xdr:spPr>
        <a:xfrm>
          <a:off x="320040" y="2560320"/>
          <a:ext cx="1135380" cy="746760"/>
        </a:xfrm>
        <a:prstGeom prst="rect">
          <a:avLst/>
        </a:prstGeom>
        <a:solidFill>
          <a:schemeClr val="accent1"/>
        </a:solidFill>
        <a:effectLst>
          <a:glow>
            <a:schemeClr val="accent1"/>
          </a:glow>
          <a:outerShdw blurRad="127000" dir="5400000" algn="ctr" rotWithShape="0">
            <a:srgbClr val="000000">
              <a:alpha val="50000"/>
            </a:srgbClr>
          </a:outerShdw>
          <a:reflection endPos="0" dist="50800" dir="5400000" sy="-100000" algn="bl" rotWithShape="0"/>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CFF22B-1221-4FD9-A873-4B8E2D5238D6}" type="TxLink">
            <a:rPr lang="en-US" sz="1400" b="0" i="0" u="none" strike="noStrike">
              <a:ln>
                <a:solidFill>
                  <a:schemeClr val="bg1"/>
                </a:solidFill>
              </a:ln>
              <a:solidFill>
                <a:schemeClr val="bg1"/>
              </a:solidFill>
              <a:latin typeface="Aptos"/>
            </a:rPr>
            <a:pPr algn="ctr"/>
            <a:t>89,850</a:t>
          </a:fld>
          <a:endParaRPr lang="en-US" sz="4400">
            <a:ln>
              <a:solidFill>
                <a:schemeClr val="bg1"/>
              </a:solidFill>
            </a:ln>
            <a:solidFill>
              <a:schemeClr val="bg1"/>
            </a:solidFill>
          </a:endParaRPr>
        </a:p>
      </xdr:txBody>
    </xdr:sp>
    <xdr:clientData/>
  </xdr:twoCellAnchor>
  <xdr:twoCellAnchor>
    <xdr:from>
      <xdr:col>0</xdr:col>
      <xdr:colOff>533400</xdr:colOff>
      <xdr:row>14</xdr:row>
      <xdr:rowOff>60960</xdr:rowOff>
    </xdr:from>
    <xdr:to>
      <xdr:col>1</xdr:col>
      <xdr:colOff>632460</xdr:colOff>
      <xdr:row>15</xdr:row>
      <xdr:rowOff>83820</xdr:rowOff>
    </xdr:to>
    <xdr:sp macro="" textlink="">
      <xdr:nvSpPr>
        <xdr:cNvPr id="20" name="TextBox 19">
          <a:extLst>
            <a:ext uri="{FF2B5EF4-FFF2-40B4-BE49-F238E27FC236}">
              <a16:creationId xmlns:a16="http://schemas.microsoft.com/office/drawing/2014/main" id="{E662941F-1814-4AEC-AA35-6C57E942AEEC}"/>
            </a:ext>
          </a:extLst>
        </xdr:cNvPr>
        <xdr:cNvSpPr txBox="1"/>
      </xdr:nvSpPr>
      <xdr:spPr>
        <a:xfrm>
          <a:off x="533400" y="2621280"/>
          <a:ext cx="769620" cy="20574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Duration</a:t>
          </a:r>
        </a:p>
      </xdr:txBody>
    </xdr:sp>
    <xdr:clientData/>
  </xdr:twoCellAnchor>
  <xdr:twoCellAnchor>
    <xdr:from>
      <xdr:col>0</xdr:col>
      <xdr:colOff>502920</xdr:colOff>
      <xdr:row>16</xdr:row>
      <xdr:rowOff>121920</xdr:rowOff>
    </xdr:from>
    <xdr:to>
      <xdr:col>1</xdr:col>
      <xdr:colOff>556260</xdr:colOff>
      <xdr:row>17</xdr:row>
      <xdr:rowOff>129540</xdr:rowOff>
    </xdr:to>
    <xdr:sp macro="" textlink="Sheet4!C11">
      <xdr:nvSpPr>
        <xdr:cNvPr id="22" name="TextBox 21">
          <a:extLst>
            <a:ext uri="{FF2B5EF4-FFF2-40B4-BE49-F238E27FC236}">
              <a16:creationId xmlns:a16="http://schemas.microsoft.com/office/drawing/2014/main" id="{BA53416E-299B-4CC6-BCA4-3E06A6EDA938}"/>
            </a:ext>
          </a:extLst>
        </xdr:cNvPr>
        <xdr:cNvSpPr txBox="1"/>
      </xdr:nvSpPr>
      <xdr:spPr>
        <a:xfrm>
          <a:off x="502920" y="3048000"/>
          <a:ext cx="723900" cy="1905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6716A8-32BA-4B96-9B8B-129A0C4F98B9}" type="TxLink">
            <a:rPr lang="en-US" sz="1100" b="0" i="0" u="none" strike="noStrike">
              <a:ln>
                <a:solidFill>
                  <a:schemeClr val="bg1"/>
                </a:solidFill>
              </a:ln>
              <a:solidFill>
                <a:schemeClr val="bg1"/>
              </a:solidFill>
              <a:latin typeface="Aptos"/>
            </a:rPr>
            <a:pPr algn="ctr"/>
            <a:t>19,300</a:t>
          </a:fld>
          <a:endParaRPr lang="en-IN" sz="1100">
            <a:ln>
              <a:solidFill>
                <a:schemeClr val="bg1"/>
              </a:solidFill>
            </a:ln>
            <a:solidFill>
              <a:schemeClr val="bg1"/>
            </a:solidFill>
          </a:endParaRPr>
        </a:p>
      </xdr:txBody>
    </xdr:sp>
    <xdr:clientData/>
  </xdr:twoCellAnchor>
  <xdr:twoCellAnchor>
    <xdr:from>
      <xdr:col>0</xdr:col>
      <xdr:colOff>320040</xdr:colOff>
      <xdr:row>20</xdr:row>
      <xdr:rowOff>0</xdr:rowOff>
    </xdr:from>
    <xdr:to>
      <xdr:col>2</xdr:col>
      <xdr:colOff>137160</xdr:colOff>
      <xdr:row>24</xdr:row>
      <xdr:rowOff>15240</xdr:rowOff>
    </xdr:to>
    <xdr:sp macro="" textlink="Sheet4!D4">
      <xdr:nvSpPr>
        <xdr:cNvPr id="23" name="Rectangle 22">
          <a:extLst>
            <a:ext uri="{FF2B5EF4-FFF2-40B4-BE49-F238E27FC236}">
              <a16:creationId xmlns:a16="http://schemas.microsoft.com/office/drawing/2014/main" id="{1B240547-A11A-4CDB-904A-A5F5A5D2B9C7}"/>
            </a:ext>
          </a:extLst>
        </xdr:cNvPr>
        <xdr:cNvSpPr/>
      </xdr:nvSpPr>
      <xdr:spPr>
        <a:xfrm>
          <a:off x="320040" y="3657600"/>
          <a:ext cx="1158240" cy="746760"/>
        </a:xfrm>
        <a:prstGeom prst="rect">
          <a:avLst/>
        </a:prstGeom>
        <a:solidFill>
          <a:schemeClr val="accent1"/>
        </a:solidFill>
        <a:effectLst>
          <a:glow>
            <a:schemeClr val="accent1"/>
          </a:glow>
          <a:outerShdw blurRad="127000" dir="5400000" algn="ctr" rotWithShape="0">
            <a:srgbClr val="000000">
              <a:alpha val="50000"/>
            </a:srgbClr>
          </a:outerShdw>
          <a:reflection endPos="0" dist="50800" dir="5400000" sy="-100000" algn="bl" rotWithShape="0"/>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0A822F-420B-48D7-96E7-7F5C113C1719}" type="TxLink">
            <a:rPr lang="en-US" sz="1600" b="0" i="0" u="none" strike="noStrike">
              <a:ln>
                <a:solidFill>
                  <a:schemeClr val="bg1"/>
                </a:solidFill>
              </a:ln>
              <a:solidFill>
                <a:schemeClr val="bg1"/>
              </a:solidFill>
              <a:latin typeface="Aptos"/>
            </a:rPr>
            <a:pPr algn="ctr"/>
            <a:t>3.9</a:t>
          </a:fld>
          <a:endParaRPr lang="en-US" sz="2800">
            <a:ln>
              <a:solidFill>
                <a:schemeClr val="bg1"/>
              </a:solidFill>
            </a:ln>
            <a:solidFill>
              <a:schemeClr val="bg1"/>
            </a:solidFill>
          </a:endParaRPr>
        </a:p>
      </xdr:txBody>
    </xdr:sp>
    <xdr:clientData/>
  </xdr:twoCellAnchor>
  <xdr:twoCellAnchor>
    <xdr:from>
      <xdr:col>0</xdr:col>
      <xdr:colOff>541020</xdr:colOff>
      <xdr:row>20</xdr:row>
      <xdr:rowOff>83820</xdr:rowOff>
    </xdr:from>
    <xdr:to>
      <xdr:col>2</xdr:col>
      <xdr:colOff>121920</xdr:colOff>
      <xdr:row>21</xdr:row>
      <xdr:rowOff>68580</xdr:rowOff>
    </xdr:to>
    <xdr:sp macro="" textlink="">
      <xdr:nvSpPr>
        <xdr:cNvPr id="24" name="TextBox 23">
          <a:extLst>
            <a:ext uri="{FF2B5EF4-FFF2-40B4-BE49-F238E27FC236}">
              <a16:creationId xmlns:a16="http://schemas.microsoft.com/office/drawing/2014/main" id="{B1373FE8-B304-4F9C-A315-3DAE6964C2AA}"/>
            </a:ext>
          </a:extLst>
        </xdr:cNvPr>
        <xdr:cNvSpPr txBox="1"/>
      </xdr:nvSpPr>
      <xdr:spPr>
        <a:xfrm>
          <a:off x="541020" y="3741420"/>
          <a:ext cx="922020" cy="16764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rPr>
            <a:t>Avg. Rating</a:t>
          </a:r>
        </a:p>
      </xdr:txBody>
    </xdr:sp>
    <xdr:clientData/>
  </xdr:twoCellAnchor>
  <xdr:twoCellAnchor>
    <xdr:from>
      <xdr:col>0</xdr:col>
      <xdr:colOff>518160</xdr:colOff>
      <xdr:row>22</xdr:row>
      <xdr:rowOff>129540</xdr:rowOff>
    </xdr:from>
    <xdr:to>
      <xdr:col>1</xdr:col>
      <xdr:colOff>571500</xdr:colOff>
      <xdr:row>23</xdr:row>
      <xdr:rowOff>137160</xdr:rowOff>
    </xdr:to>
    <xdr:sp macro="" textlink="Sheet4!D11">
      <xdr:nvSpPr>
        <xdr:cNvPr id="26" name="TextBox 25">
          <a:extLst>
            <a:ext uri="{FF2B5EF4-FFF2-40B4-BE49-F238E27FC236}">
              <a16:creationId xmlns:a16="http://schemas.microsoft.com/office/drawing/2014/main" id="{60CEA1D1-B6DC-4617-901B-4129F1859B94}"/>
            </a:ext>
          </a:extLst>
        </xdr:cNvPr>
        <xdr:cNvSpPr txBox="1"/>
      </xdr:nvSpPr>
      <xdr:spPr>
        <a:xfrm>
          <a:off x="518160" y="4152900"/>
          <a:ext cx="723900" cy="1905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7A8F12-94B9-44F5-8041-7D70E49ACEDF}" type="TxLink">
            <a:rPr lang="en-US" sz="1100" b="0" i="0" u="none" strike="noStrike">
              <a:ln>
                <a:solidFill>
                  <a:schemeClr val="bg1"/>
                </a:solidFill>
              </a:ln>
              <a:solidFill>
                <a:schemeClr val="bg1"/>
              </a:solidFill>
              <a:latin typeface="Aptos"/>
            </a:rPr>
            <a:pPr algn="ctr"/>
            <a:t>3.9</a:t>
          </a:fld>
          <a:endParaRPr lang="en-IN" sz="1100">
            <a:ln>
              <a:solidFill>
                <a:schemeClr val="bg1"/>
              </a:solidFill>
            </a:ln>
            <a:solidFill>
              <a:schemeClr val="bg1"/>
            </a:solidFill>
          </a:endParaRPr>
        </a:p>
      </xdr:txBody>
    </xdr:sp>
    <xdr:clientData/>
  </xdr:twoCellAnchor>
  <xdr:twoCellAnchor>
    <xdr:from>
      <xdr:col>0</xdr:col>
      <xdr:colOff>304800</xdr:colOff>
      <xdr:row>26</xdr:row>
      <xdr:rowOff>0</xdr:rowOff>
    </xdr:from>
    <xdr:to>
      <xdr:col>2</xdr:col>
      <xdr:colOff>121920</xdr:colOff>
      <xdr:row>30</xdr:row>
      <xdr:rowOff>15240</xdr:rowOff>
    </xdr:to>
    <xdr:sp macro="" textlink="Sheet4!E4">
      <xdr:nvSpPr>
        <xdr:cNvPr id="27" name="Rectangle 26">
          <a:extLst>
            <a:ext uri="{FF2B5EF4-FFF2-40B4-BE49-F238E27FC236}">
              <a16:creationId xmlns:a16="http://schemas.microsoft.com/office/drawing/2014/main" id="{D5C5FC17-D6D6-43BA-96F6-81F62789C160}"/>
            </a:ext>
          </a:extLst>
        </xdr:cNvPr>
        <xdr:cNvSpPr/>
      </xdr:nvSpPr>
      <xdr:spPr>
        <a:xfrm>
          <a:off x="304800" y="4754880"/>
          <a:ext cx="1158240" cy="746760"/>
        </a:xfrm>
        <a:prstGeom prst="rect">
          <a:avLst/>
        </a:prstGeom>
        <a:solidFill>
          <a:schemeClr val="accent1"/>
        </a:solidFill>
        <a:effectLst>
          <a:glow>
            <a:schemeClr val="accent1"/>
          </a:glow>
          <a:outerShdw blurRad="127000" dir="5400000" algn="ctr" rotWithShape="0">
            <a:srgbClr val="000000">
              <a:alpha val="50000"/>
            </a:srgbClr>
          </a:outerShdw>
          <a:reflection endPos="0" dist="50800" dir="5400000" sy="-100000" algn="bl" rotWithShape="0"/>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A3D118-E62B-432C-A26D-A212ADD50A35}" type="TxLink">
            <a:rPr lang="en-US" sz="1600" b="0" i="0" u="none" strike="noStrike">
              <a:ln>
                <a:solidFill>
                  <a:schemeClr val="bg1"/>
                </a:solidFill>
              </a:ln>
              <a:solidFill>
                <a:schemeClr val="bg1"/>
              </a:solidFill>
              <a:latin typeface="Aptos"/>
            </a:rPr>
            <a:pPr algn="ctr"/>
            <a:t>307</a:t>
          </a:fld>
          <a:endParaRPr lang="en-US" sz="2800">
            <a:ln>
              <a:solidFill>
                <a:schemeClr val="bg1"/>
              </a:solidFill>
            </a:ln>
            <a:solidFill>
              <a:schemeClr val="bg1"/>
            </a:solidFill>
          </a:endParaRPr>
        </a:p>
      </xdr:txBody>
    </xdr:sp>
    <xdr:clientData/>
  </xdr:twoCellAnchor>
  <xdr:twoCellAnchor>
    <xdr:from>
      <xdr:col>0</xdr:col>
      <xdr:colOff>419100</xdr:colOff>
      <xdr:row>26</xdr:row>
      <xdr:rowOff>45720</xdr:rowOff>
    </xdr:from>
    <xdr:to>
      <xdr:col>2</xdr:col>
      <xdr:colOff>60960</xdr:colOff>
      <xdr:row>27</xdr:row>
      <xdr:rowOff>106680</xdr:rowOff>
    </xdr:to>
    <xdr:sp macro="" textlink="">
      <xdr:nvSpPr>
        <xdr:cNvPr id="28" name="TextBox 27">
          <a:extLst>
            <a:ext uri="{FF2B5EF4-FFF2-40B4-BE49-F238E27FC236}">
              <a16:creationId xmlns:a16="http://schemas.microsoft.com/office/drawing/2014/main" id="{42FD26F4-B34D-40E9-AE7C-F9D9B0BCC780}"/>
            </a:ext>
          </a:extLst>
        </xdr:cNvPr>
        <xdr:cNvSpPr txBox="1"/>
      </xdr:nvSpPr>
      <xdr:spPr>
        <a:xfrm>
          <a:off x="419100" y="4800600"/>
          <a:ext cx="982980" cy="24384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lumMod val="95000"/>
                </a:schemeClr>
              </a:solidFill>
            </a:rPr>
            <a:t>Happy callers</a:t>
          </a:r>
        </a:p>
      </xdr:txBody>
    </xdr:sp>
    <xdr:clientData/>
  </xdr:twoCellAnchor>
  <xdr:twoCellAnchor>
    <xdr:from>
      <xdr:col>0</xdr:col>
      <xdr:colOff>502920</xdr:colOff>
      <xdr:row>28</xdr:row>
      <xdr:rowOff>129540</xdr:rowOff>
    </xdr:from>
    <xdr:to>
      <xdr:col>1</xdr:col>
      <xdr:colOff>556260</xdr:colOff>
      <xdr:row>29</xdr:row>
      <xdr:rowOff>137160</xdr:rowOff>
    </xdr:to>
    <xdr:sp macro="" textlink="Sheet4!E11">
      <xdr:nvSpPr>
        <xdr:cNvPr id="30" name="TextBox 29">
          <a:extLst>
            <a:ext uri="{FF2B5EF4-FFF2-40B4-BE49-F238E27FC236}">
              <a16:creationId xmlns:a16="http://schemas.microsoft.com/office/drawing/2014/main" id="{8CCE6FB2-1FE4-44C7-B63C-C72277DEE37A}"/>
            </a:ext>
          </a:extLst>
        </xdr:cNvPr>
        <xdr:cNvSpPr txBox="1"/>
      </xdr:nvSpPr>
      <xdr:spPr>
        <a:xfrm>
          <a:off x="502920" y="5250180"/>
          <a:ext cx="723900" cy="1905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9B8354-B38C-467E-8FA9-D6660A27C897}" type="TxLink">
            <a:rPr lang="en-US" sz="1100" b="0" i="0" u="none" strike="noStrike">
              <a:ln>
                <a:solidFill>
                  <a:schemeClr val="bg1"/>
                </a:solidFill>
              </a:ln>
              <a:solidFill>
                <a:schemeClr val="bg1"/>
              </a:solidFill>
              <a:latin typeface="Aptos"/>
            </a:rPr>
            <a:pPr algn="ctr"/>
            <a:t>74</a:t>
          </a:fld>
          <a:endParaRPr lang="en-IN" sz="1100">
            <a:ln>
              <a:solidFill>
                <a:schemeClr val="bg1"/>
              </a:solidFill>
            </a:ln>
            <a:solidFill>
              <a:schemeClr val="bg1"/>
            </a:solidFill>
          </a:endParaRPr>
        </a:p>
      </xdr:txBody>
    </xdr:sp>
    <xdr:clientData/>
  </xdr:twoCellAnchor>
  <xdr:twoCellAnchor editAs="oneCell">
    <xdr:from>
      <xdr:col>0</xdr:col>
      <xdr:colOff>381001</xdr:colOff>
      <xdr:row>8</xdr:row>
      <xdr:rowOff>91259</xdr:rowOff>
    </xdr:from>
    <xdr:to>
      <xdr:col>0</xdr:col>
      <xdr:colOff>624841</xdr:colOff>
      <xdr:row>9</xdr:row>
      <xdr:rowOff>76200</xdr:rowOff>
    </xdr:to>
    <xdr:pic>
      <xdr:nvPicPr>
        <xdr:cNvPr id="31" name="Graphic 30" descr="Shopping cart with solid fill">
          <a:extLst>
            <a:ext uri="{FF2B5EF4-FFF2-40B4-BE49-F238E27FC236}">
              <a16:creationId xmlns:a16="http://schemas.microsoft.com/office/drawing/2014/main" id="{CB2A80A4-C790-42A1-BFAE-C92BF852762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1001" y="1554299"/>
          <a:ext cx="243840" cy="167821"/>
        </a:xfrm>
        <a:prstGeom prst="rect">
          <a:avLst/>
        </a:prstGeom>
      </xdr:spPr>
    </xdr:pic>
    <xdr:clientData/>
  </xdr:twoCellAnchor>
  <xdr:twoCellAnchor editAs="oneCell">
    <xdr:from>
      <xdr:col>0</xdr:col>
      <xdr:colOff>426720</xdr:colOff>
      <xdr:row>14</xdr:row>
      <xdr:rowOff>76201</xdr:rowOff>
    </xdr:from>
    <xdr:to>
      <xdr:col>0</xdr:col>
      <xdr:colOff>601980</xdr:colOff>
      <xdr:row>15</xdr:row>
      <xdr:rowOff>66455</xdr:rowOff>
    </xdr:to>
    <xdr:pic>
      <xdr:nvPicPr>
        <xdr:cNvPr id="32" name="Graphic 31" descr="Hourglass Finished with solid fill">
          <a:extLst>
            <a:ext uri="{FF2B5EF4-FFF2-40B4-BE49-F238E27FC236}">
              <a16:creationId xmlns:a16="http://schemas.microsoft.com/office/drawing/2014/main" id="{2199539E-F55C-4A5C-9F87-F7D622391EC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6720" y="2636521"/>
          <a:ext cx="175260" cy="173134"/>
        </a:xfrm>
        <a:prstGeom prst="rect">
          <a:avLst/>
        </a:prstGeom>
      </xdr:spPr>
    </xdr:pic>
    <xdr:clientData/>
  </xdr:twoCellAnchor>
  <xdr:twoCellAnchor editAs="oneCell">
    <xdr:from>
      <xdr:col>0</xdr:col>
      <xdr:colOff>373380</xdr:colOff>
      <xdr:row>20</xdr:row>
      <xdr:rowOff>38101</xdr:rowOff>
    </xdr:from>
    <xdr:to>
      <xdr:col>0</xdr:col>
      <xdr:colOff>638872</xdr:colOff>
      <xdr:row>21</xdr:row>
      <xdr:rowOff>114300</xdr:rowOff>
    </xdr:to>
    <xdr:pic>
      <xdr:nvPicPr>
        <xdr:cNvPr id="33" name="Graphic 32" descr="Rating Star with solid fill">
          <a:extLst>
            <a:ext uri="{FF2B5EF4-FFF2-40B4-BE49-F238E27FC236}">
              <a16:creationId xmlns:a16="http://schemas.microsoft.com/office/drawing/2014/main" id="{79EC3C06-05E0-405D-93DE-07F02BC6C22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73380" y="3695701"/>
          <a:ext cx="265492" cy="259079"/>
        </a:xfrm>
        <a:prstGeom prst="rect">
          <a:avLst/>
        </a:prstGeom>
      </xdr:spPr>
    </xdr:pic>
    <xdr:clientData/>
  </xdr:twoCellAnchor>
  <xdr:twoCellAnchor editAs="oneCell">
    <xdr:from>
      <xdr:col>9</xdr:col>
      <xdr:colOff>99060</xdr:colOff>
      <xdr:row>14</xdr:row>
      <xdr:rowOff>83820</xdr:rowOff>
    </xdr:from>
    <xdr:to>
      <xdr:col>10</xdr:col>
      <xdr:colOff>480060</xdr:colOff>
      <xdr:row>24</xdr:row>
      <xdr:rowOff>30481</xdr:rowOff>
    </xdr:to>
    <mc:AlternateContent xmlns:mc="http://schemas.openxmlformats.org/markup-compatibility/2006" xmlns:a14="http://schemas.microsoft.com/office/drawing/2010/main">
      <mc:Choice Requires="a14">
        <xdr:graphicFrame macro="">
          <xdr:nvGraphicFramePr>
            <xdr:cNvPr id="35" name="Representative 1">
              <a:extLst>
                <a:ext uri="{FF2B5EF4-FFF2-40B4-BE49-F238E27FC236}">
                  <a16:creationId xmlns:a16="http://schemas.microsoft.com/office/drawing/2014/main" id="{E5731E2D-0DF9-4A80-A2E9-136A3786440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134100" y="2644140"/>
              <a:ext cx="1051560" cy="1775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26</xdr:row>
      <xdr:rowOff>91441</xdr:rowOff>
    </xdr:from>
    <xdr:to>
      <xdr:col>0</xdr:col>
      <xdr:colOff>507467</xdr:colOff>
      <xdr:row>27</xdr:row>
      <xdr:rowOff>91441</xdr:rowOff>
    </xdr:to>
    <xdr:pic>
      <xdr:nvPicPr>
        <xdr:cNvPr id="34" name="Graphic 33" descr="Star-struck face outline with solid fill">
          <a:extLst>
            <a:ext uri="{FF2B5EF4-FFF2-40B4-BE49-F238E27FC236}">
              <a16:creationId xmlns:a16="http://schemas.microsoft.com/office/drawing/2014/main" id="{30FB3AF0-202D-46C5-8156-D0226CBCC3A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0040" y="4846321"/>
          <a:ext cx="187427" cy="182880"/>
        </a:xfrm>
        <a:prstGeom prst="rect">
          <a:avLst/>
        </a:prstGeom>
      </xdr:spPr>
    </xdr:pic>
    <xdr:clientData/>
  </xdr:twoCellAnchor>
  <xdr:twoCellAnchor>
    <xdr:from>
      <xdr:col>2</xdr:col>
      <xdr:colOff>381000</xdr:colOff>
      <xdr:row>1</xdr:row>
      <xdr:rowOff>129540</xdr:rowOff>
    </xdr:from>
    <xdr:to>
      <xdr:col>9</xdr:col>
      <xdr:colOff>144780</xdr:colOff>
      <xdr:row>13</xdr:row>
      <xdr:rowOff>121920</xdr:rowOff>
    </xdr:to>
    <xdr:graphicFrame macro="">
      <xdr:nvGraphicFramePr>
        <xdr:cNvPr id="3" name="Chart 2">
          <a:extLst>
            <a:ext uri="{FF2B5EF4-FFF2-40B4-BE49-F238E27FC236}">
              <a16:creationId xmlns:a16="http://schemas.microsoft.com/office/drawing/2014/main" id="{D6A144BF-154D-4AAC-B16D-4141C0A00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381000</xdr:colOff>
      <xdr:row>14</xdr:row>
      <xdr:rowOff>38100</xdr:rowOff>
    </xdr:from>
    <xdr:to>
      <xdr:col>9</xdr:col>
      <xdr:colOff>137160</xdr:colOff>
      <xdr:row>30</xdr:row>
      <xdr:rowOff>7620</xdr:rowOff>
    </xdr:to>
    <xdr:sp macro="" textlink="">
      <xdr:nvSpPr>
        <xdr:cNvPr id="10" name="Rectangle 9">
          <a:extLst>
            <a:ext uri="{FF2B5EF4-FFF2-40B4-BE49-F238E27FC236}">
              <a16:creationId xmlns:a16="http://schemas.microsoft.com/office/drawing/2014/main" id="{90DCAD2E-9DF5-98ED-7ADB-78D5EE3EF383}"/>
            </a:ext>
          </a:extLst>
        </xdr:cNvPr>
        <xdr:cNvSpPr/>
      </xdr:nvSpPr>
      <xdr:spPr>
        <a:xfrm>
          <a:off x="1722120" y="2598420"/>
          <a:ext cx="4450080" cy="2895600"/>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533400</xdr:colOff>
      <xdr:row>14</xdr:row>
      <xdr:rowOff>167640</xdr:rowOff>
    </xdr:from>
    <xdr:to>
      <xdr:col>5</xdr:col>
      <xdr:colOff>598170</xdr:colOff>
      <xdr:row>29</xdr:row>
      <xdr:rowOff>91440</xdr:rowOff>
    </xdr:to>
    <xdr:graphicFrame macro="">
      <xdr:nvGraphicFramePr>
        <xdr:cNvPr id="8" name="Chart 7">
          <a:extLst>
            <a:ext uri="{FF2B5EF4-FFF2-40B4-BE49-F238E27FC236}">
              <a16:creationId xmlns:a16="http://schemas.microsoft.com/office/drawing/2014/main" id="{30646AC8-CE31-43F7-981A-C90FF81BE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598170</xdr:colOff>
      <xdr:row>14</xdr:row>
      <xdr:rowOff>152400</xdr:rowOff>
    </xdr:from>
    <xdr:to>
      <xdr:col>8</xdr:col>
      <xdr:colOff>662940</xdr:colOff>
      <xdr:row>29</xdr:row>
      <xdr:rowOff>99060</xdr:rowOff>
    </xdr:to>
    <xdr:graphicFrame macro="">
      <xdr:nvGraphicFramePr>
        <xdr:cNvPr id="9" name="Chart 8">
          <a:extLst>
            <a:ext uri="{FF2B5EF4-FFF2-40B4-BE49-F238E27FC236}">
              <a16:creationId xmlns:a16="http://schemas.microsoft.com/office/drawing/2014/main" id="{62AE11DC-23DC-42D7-82EC-FF45DE21A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533400</xdr:colOff>
      <xdr:row>1</xdr:row>
      <xdr:rowOff>152400</xdr:rowOff>
    </xdr:from>
    <xdr:to>
      <xdr:col>14</xdr:col>
      <xdr:colOff>647700</xdr:colOff>
      <xdr:row>13</xdr:row>
      <xdr:rowOff>15240</xdr:rowOff>
    </xdr:to>
    <xdr:graphicFrame macro="">
      <xdr:nvGraphicFramePr>
        <xdr:cNvPr id="11" name="Chart 10">
          <a:extLst>
            <a:ext uri="{FF2B5EF4-FFF2-40B4-BE49-F238E27FC236}">
              <a16:creationId xmlns:a16="http://schemas.microsoft.com/office/drawing/2014/main" id="{AE8F41D4-7198-412F-A19D-59C32009D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0</xdr:colOff>
      <xdr:row>1</xdr:row>
      <xdr:rowOff>160020</xdr:rowOff>
    </xdr:from>
    <xdr:to>
      <xdr:col>18</xdr:col>
      <xdr:colOff>411480</xdr:colOff>
      <xdr:row>13</xdr:row>
      <xdr:rowOff>7620</xdr:rowOff>
    </xdr:to>
    <xdr:graphicFrame macro="">
      <xdr:nvGraphicFramePr>
        <xdr:cNvPr id="12" name="Chart 11">
          <a:extLst>
            <a:ext uri="{FF2B5EF4-FFF2-40B4-BE49-F238E27FC236}">
              <a16:creationId xmlns:a16="http://schemas.microsoft.com/office/drawing/2014/main" id="{6C0350F6-DA77-4D07-B553-CAE96B2F0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5.802372800928" backgroundQuery="1" createdVersion="8" refreshedVersion="8" minRefreshableVersion="3" recordCount="0" supportSubquery="1" supportAdvancedDrill="1" xr:uid="{9C64BA25-F9FE-46DD-9A4A-C4BB23E3B32D}">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5.802374074075" backgroundQuery="1" createdVersion="8" refreshedVersion="8" minRefreshableVersion="3" recordCount="0" supportSubquery="1" supportAdvancedDrill="1" xr:uid="{5B45D9EF-B77F-40E0-AE56-B3D302DFB649}">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5.802375462961" backgroundQuery="1" createdVersion="8" refreshedVersion="8" minRefreshableVersion="3" recordCount="0" supportSubquery="1" supportAdvancedDrill="1" xr:uid="{EBBE102A-0753-4F13-89BB-89B7C31A36F2}">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Sum of Purchase Amount]" caption="Sum of Purchase Amount" numFmtId="0" hierarchy="26"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5.802376736108" backgroundQuery="1" createdVersion="8" refreshedVersion="8" minRefreshableVersion="3" recordCount="0" supportSubquery="1" supportAdvancedDrill="1" xr:uid="{3108F579-607F-4B3A-844E-6164178B85D5}">
  <cacheSource type="external" connectionId="1"/>
  <cacheFields count="5">
    <cacheField name="[Measures].[Call numbers]" caption="Call numbers"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 caption="5* call"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 caption="5* 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7.838701273147" backgroundQuery="1" createdVersion="8" refreshedVersion="8" minRefreshableVersion="3" recordCount="0" supportSubquery="1" supportAdvancedDrill="1" xr:uid="{670694D7-C5A8-4043-ADE8-E34D6B3CA22D}">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7.838701736109" backgroundQuery="1" createdVersion="8" refreshedVersion="8" minRefreshableVersion="3" recordCount="0" supportSubquery="1" supportAdvancedDrill="1" xr:uid="{2AF42E61-C94C-4270-9042-14E7901AEA83}">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7.838702314817" backgroundQuery="1" createdVersion="8" refreshedVersion="8" minRefreshableVersion="3" recordCount="0" supportSubquery="1" supportAdvancedDrill="1" xr:uid="{75A0F004-6169-46AD-88DC-EF27A9C0BBF7}">
  <cacheSource type="external" connectionId="1"/>
  <cacheFields count="6">
    <cacheField name="[Measures].[Call numbers]" caption="Call numbers"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 caption="5* call"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 caption="5* 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7.838702893518" backgroundQuery="1" createdVersion="8" refreshedVersion="8" minRefreshableVersion="3" recordCount="0" supportSubquery="1" supportAdvancedDrill="1" xr:uid="{720D6049-ECA4-4258-80BA-15B87D7D88D1}">
  <cacheSource type="external" connectionId="1"/>
  <cacheFields count="1">
    <cacheField name="[calls].[Representative].[Representative]" caption="Representative" numFmtId="0" hierarchy="3" level="1">
      <sharedItems count="1">
        <s v="R02"/>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7.83870335648" backgroundQuery="1" createdVersion="8" refreshedVersion="8" minRefreshableVersion="3" recordCount="0" supportSubquery="1" supportAdvancedDrill="1" xr:uid="{25F28163-BC7A-4702-AE4B-7FCB06E43D51}">
  <cacheSource type="external" connectionId="1"/>
  <cacheFields count="3">
    <cacheField name="[Measures].[Count of Call number]" caption="Count of Call number" numFmtId="0" hierarchy="25"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ir Hussain" refreshedDate="46015.802377893517" backgroundQuery="1" createdVersion="3" refreshedVersion="8" minRefreshableVersion="3" recordCount="0" supportSubquery="1" supportAdvancedDrill="1" xr:uid="{B63B5061-E06B-4AD5-BB81-5D62430FC1FE}">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numbers]" caption="Call number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0869184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723DCF-C3A1-440E-BEBE-F030A288CB46}" name="PivotTable9"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5">
  <location ref="A62:G8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20430F-C8B3-458D-A23C-DB9FA04D1055}" name="PivotTable8" cacheId="5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location ref="A54:B6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all number" fld="0" subtotal="count" baseField="0" baseItem="0"/>
  </dataFields>
  <chartFormats count="2">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BF040-C511-42F4-80C1-0D9E526A7978}" name="monthly" cacheId="5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3" subtotal="count" baseField="0" baseItem="0"/>
    <dataField name="Count of Call number2" fld="4" subtotal="count" baseField="0" baseItem="0">
      <extLst>
        <ext xmlns:x14="http://schemas.microsoft.com/office/spreadsheetml/2009/9/main" uri="{E15A36E0-9728-4e99-A89B-3F7291B0FE68}">
          <x14:dataField sourceField="3" uniqueName="[__Xl2].[Measures].[Count of Call number]"/>
        </ext>
      </extLst>
    </dataField>
  </dataFields>
  <chartFormats count="3">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C47DD-738C-4445-BD09-018EDC676887}"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46:D5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20" format="4" series="1">
      <pivotArea type="data" outline="0" fieldPosition="0">
        <references count="2">
          <reference field="4294967294" count="1" selected="0">
            <x v="0"/>
          </reference>
          <reference field="1" count="1" selected="0">
            <x v="0"/>
          </reference>
        </references>
      </pivotArea>
    </chartFormat>
    <chartFormat chart="20"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36C4F3-8BA9-49E3-8921-A4FAA3CAE252}" name="PivotTable5" cacheId="5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306DF8-9127-4496-874D-64C80895BCBE}" name="Summary pivo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238F98-1CC2-47F5-945D-DF4A62172162}" name="rep" cacheId="57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A43:A4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8FA5D9-80E4-425F-B466-3DD9D82B351A}"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4:C4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A30052-4C2F-4E79-9CA5-BE034C7E255A}" name="Weekly " cacheId="5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F18:G26" firstHeaderRow="1" firstDataRow="1" firstDataCol="1"/>
  <pivotFields count="3">
    <pivotField axis="axisRow" allDrilled="1" subtotalTop="0" showAll="0" sortType="descending" defaultSubtotal="0" defaultAttributeDrillState="1">
      <items count="7">
        <item x="2"/>
        <item x="0"/>
        <item x="4"/>
        <item x="6"/>
        <item x="5"/>
        <item x="1"/>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Call number" fld="1"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0085364-BD1C-4410-83E2-2BC6D499791D}" sourceName="[calls].[Representative]">
  <pivotTables>
    <pivotTable tabId="8" name="monthly"/>
    <pivotTable tabId="8" name="Weekly "/>
    <pivotTable tabId="8" name="PivotTable5"/>
    <pivotTable tabId="8" name="rep"/>
    <pivotTable tabId="8" name="PivotTable8"/>
  </pivotTables>
  <data>
    <olap pivotCacheId="108691840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71BE44A-0300-4165-B6C5-D5005F9C0B20}"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2A3587A1-8103-42C3-8F5B-72441ACD0A27}" cache="Slicer_Representative" caption="Representative" level="1"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3137-0F62-4955-AE5D-786459AA7AD0}">
  <dimension ref="A3:I81"/>
  <sheetViews>
    <sheetView topLeftCell="A23" workbookViewId="0">
      <selection activeCell="A44" sqref="A44"/>
    </sheetView>
  </sheetViews>
  <sheetFormatPr defaultRowHeight="14.4" x14ac:dyDescent="0.3"/>
  <cols>
    <col min="1" max="1" width="12.19921875" bestFit="1" customWidth="1"/>
    <col min="2" max="2" width="18.5" bestFit="1" customWidth="1"/>
    <col min="3" max="3" width="12.3984375" bestFit="1" customWidth="1"/>
    <col min="4" max="4" width="9.796875" bestFit="1" customWidth="1"/>
    <col min="5" max="5" width="6.09765625" bestFit="1" customWidth="1"/>
    <col min="6" max="6" width="12.19921875" bestFit="1" customWidth="1"/>
    <col min="7" max="8" width="18.5" bestFit="1" customWidth="1"/>
    <col min="9" max="9" width="21.69921875" bestFit="1" customWidth="1"/>
    <col min="10" max="10" width="18.5" bestFit="1" customWidth="1"/>
    <col min="11" max="11" width="21.69921875" bestFit="1" customWidth="1"/>
    <col min="12" max="12" width="23" bestFit="1" customWidth="1"/>
    <col min="13" max="13" width="26.19921875" bestFit="1" customWidth="1"/>
    <col min="14" max="47" width="2.8984375" bestFit="1" customWidth="1"/>
    <col min="48" max="89" width="3.8984375" bestFit="1" customWidth="1"/>
    <col min="90" max="90" width="10.3984375" bestFit="1" customWidth="1"/>
  </cols>
  <sheetData>
    <row r="3" spans="1:5" x14ac:dyDescent="0.3">
      <c r="A3" t="s">
        <v>1042</v>
      </c>
      <c r="B3" t="s">
        <v>1043</v>
      </c>
      <c r="C3" t="s">
        <v>1044</v>
      </c>
      <c r="D3" t="s">
        <v>1045</v>
      </c>
      <c r="E3" t="s">
        <v>1046</v>
      </c>
    </row>
    <row r="4" spans="1:5" x14ac:dyDescent="0.3">
      <c r="A4" s="20">
        <v>1000</v>
      </c>
      <c r="B4" s="21">
        <v>96623</v>
      </c>
      <c r="C4" s="20">
        <v>89850</v>
      </c>
      <c r="D4" s="22">
        <v>3.8854000000000033</v>
      </c>
      <c r="E4" s="20">
        <v>307</v>
      </c>
    </row>
    <row r="10" spans="1:5" x14ac:dyDescent="0.3">
      <c r="A10" t="s">
        <v>1042</v>
      </c>
      <c r="B10" t="s">
        <v>1043</v>
      </c>
      <c r="C10" t="s">
        <v>1044</v>
      </c>
      <c r="D10" t="s">
        <v>1045</v>
      </c>
      <c r="E10" t="s">
        <v>1046</v>
      </c>
    </row>
    <row r="11" spans="1:5" x14ac:dyDescent="0.3">
      <c r="A11" s="20">
        <v>218</v>
      </c>
      <c r="B11" s="21">
        <v>20581</v>
      </c>
      <c r="C11" s="20">
        <v>19300</v>
      </c>
      <c r="D11" s="22">
        <v>3.8706422018348627</v>
      </c>
      <c r="E11" s="20">
        <v>74</v>
      </c>
    </row>
    <row r="17" spans="1:8" x14ac:dyDescent="0.3">
      <c r="A17" s="23" t="s">
        <v>1047</v>
      </c>
      <c r="B17" t="s">
        <v>1061</v>
      </c>
      <c r="C17" t="s">
        <v>1062</v>
      </c>
    </row>
    <row r="18" spans="1:8" x14ac:dyDescent="0.3">
      <c r="A18" s="24" t="s">
        <v>1049</v>
      </c>
      <c r="B18" s="28">
        <v>19</v>
      </c>
      <c r="C18" s="28">
        <v>19</v>
      </c>
      <c r="F18" s="23" t="s">
        <v>1047</v>
      </c>
      <c r="G18" t="s">
        <v>1061</v>
      </c>
    </row>
    <row r="19" spans="1:8" x14ac:dyDescent="0.3">
      <c r="A19" s="24" t="s">
        <v>1050</v>
      </c>
      <c r="B19" s="28">
        <v>10</v>
      </c>
      <c r="C19" s="28">
        <v>10</v>
      </c>
      <c r="F19" s="24" t="s">
        <v>1065</v>
      </c>
      <c r="G19" s="28">
        <v>24</v>
      </c>
    </row>
    <row r="20" spans="1:8" x14ac:dyDescent="0.3">
      <c r="A20" s="24" t="s">
        <v>1051</v>
      </c>
      <c r="B20" s="28">
        <v>40</v>
      </c>
      <c r="C20" s="28">
        <v>40</v>
      </c>
      <c r="F20" s="24" t="s">
        <v>1063</v>
      </c>
      <c r="G20" s="28">
        <v>29</v>
      </c>
    </row>
    <row r="21" spans="1:8" x14ac:dyDescent="0.3">
      <c r="A21" s="24" t="s">
        <v>1052</v>
      </c>
      <c r="B21" s="28">
        <v>40</v>
      </c>
      <c r="C21" s="28">
        <v>40</v>
      </c>
      <c r="F21" s="24" t="s">
        <v>1067</v>
      </c>
      <c r="G21" s="28">
        <v>33</v>
      </c>
    </row>
    <row r="22" spans="1:8" x14ac:dyDescent="0.3">
      <c r="A22" s="24" t="s">
        <v>1053</v>
      </c>
      <c r="B22" s="28">
        <v>13</v>
      </c>
      <c r="C22" s="28">
        <v>13</v>
      </c>
      <c r="F22" s="24" t="s">
        <v>1069</v>
      </c>
      <c r="G22" s="28">
        <v>36</v>
      </c>
    </row>
    <row r="23" spans="1:8" x14ac:dyDescent="0.3">
      <c r="A23" s="24" t="s">
        <v>1054</v>
      </c>
      <c r="B23" s="28">
        <v>12</v>
      </c>
      <c r="C23" s="28">
        <v>12</v>
      </c>
      <c r="F23" s="24" t="s">
        <v>1068</v>
      </c>
      <c r="G23" s="28">
        <v>44</v>
      </c>
    </row>
    <row r="24" spans="1:8" x14ac:dyDescent="0.3">
      <c r="A24" s="24" t="s">
        <v>1055</v>
      </c>
      <c r="B24" s="28">
        <v>9</v>
      </c>
      <c r="C24" s="28">
        <v>9</v>
      </c>
      <c r="F24" s="24" t="s">
        <v>1064</v>
      </c>
      <c r="G24" s="28">
        <v>24</v>
      </c>
    </row>
    <row r="25" spans="1:8" x14ac:dyDescent="0.3">
      <c r="A25" s="24" t="s">
        <v>1056</v>
      </c>
      <c r="B25" s="28">
        <v>13</v>
      </c>
      <c r="C25" s="28">
        <v>13</v>
      </c>
      <c r="F25" s="24" t="s">
        <v>1066</v>
      </c>
      <c r="G25" s="28">
        <v>28</v>
      </c>
    </row>
    <row r="26" spans="1:8" x14ac:dyDescent="0.3">
      <c r="A26" s="24" t="s">
        <v>1057</v>
      </c>
      <c r="B26" s="28">
        <v>18</v>
      </c>
      <c r="C26" s="28">
        <v>18</v>
      </c>
      <c r="F26" s="24" t="s">
        <v>1048</v>
      </c>
      <c r="G26" s="28">
        <v>218</v>
      </c>
    </row>
    <row r="27" spans="1:8" x14ac:dyDescent="0.3">
      <c r="A27" s="24" t="s">
        <v>1058</v>
      </c>
      <c r="B27" s="28">
        <v>21</v>
      </c>
      <c r="C27" s="28">
        <v>21</v>
      </c>
    </row>
    <row r="28" spans="1:8" x14ac:dyDescent="0.3">
      <c r="A28" s="24" t="s">
        <v>1059</v>
      </c>
      <c r="B28" s="28">
        <v>14</v>
      </c>
      <c r="C28" s="28">
        <v>14</v>
      </c>
    </row>
    <row r="29" spans="1:8" x14ac:dyDescent="0.3">
      <c r="A29" s="24" t="s">
        <v>1060</v>
      </c>
      <c r="B29" s="28">
        <v>9</v>
      </c>
      <c r="C29" s="28">
        <v>9</v>
      </c>
    </row>
    <row r="30" spans="1:8" x14ac:dyDescent="0.3">
      <c r="A30" s="24" t="s">
        <v>1048</v>
      </c>
      <c r="B30" s="28">
        <v>218</v>
      </c>
      <c r="C30" s="28">
        <v>218</v>
      </c>
    </row>
    <row r="32" spans="1:8" x14ac:dyDescent="0.3">
      <c r="G32" t="s">
        <v>1071</v>
      </c>
      <c r="H32" t="str">
        <f>A44</f>
        <v>R02</v>
      </c>
    </row>
    <row r="34" spans="1:9" x14ac:dyDescent="0.3">
      <c r="A34" s="23" t="s">
        <v>1047</v>
      </c>
      <c r="B34" t="s">
        <v>1061</v>
      </c>
      <c r="C34" t="s">
        <v>1070</v>
      </c>
    </row>
    <row r="35" spans="1:9" x14ac:dyDescent="0.3">
      <c r="A35" s="24" t="s">
        <v>11</v>
      </c>
      <c r="B35">
        <v>189</v>
      </c>
      <c r="C35">
        <v>18415</v>
      </c>
      <c r="E35" s="24" t="s">
        <v>11</v>
      </c>
      <c r="F35">
        <v>189</v>
      </c>
      <c r="G35">
        <v>18415</v>
      </c>
      <c r="H35" t="e">
        <f>IF(E35=H32,F35,NA())</f>
        <v>#N/A</v>
      </c>
      <c r="I35" t="e">
        <f>IF(E35=H32,G35,NA())</f>
        <v>#N/A</v>
      </c>
    </row>
    <row r="36" spans="1:9" x14ac:dyDescent="0.3">
      <c r="A36" s="24" t="s">
        <v>9</v>
      </c>
      <c r="B36">
        <v>218</v>
      </c>
      <c r="C36">
        <v>20581</v>
      </c>
      <c r="E36" s="24" t="s">
        <v>9</v>
      </c>
      <c r="F36">
        <v>218</v>
      </c>
      <c r="G36">
        <v>20581</v>
      </c>
      <c r="H36">
        <f>IF(E36=H32,F36,NA())</f>
        <v>218</v>
      </c>
      <c r="I36">
        <f>IF(E36=H32,G36,NA())</f>
        <v>20581</v>
      </c>
    </row>
    <row r="37" spans="1:9" x14ac:dyDescent="0.3">
      <c r="A37" s="24" t="s">
        <v>6</v>
      </c>
      <c r="B37">
        <v>207</v>
      </c>
      <c r="C37">
        <v>20872</v>
      </c>
      <c r="E37" s="24" t="s">
        <v>6</v>
      </c>
      <c r="F37">
        <v>207</v>
      </c>
      <c r="G37">
        <v>20872</v>
      </c>
      <c r="H37" t="e">
        <f>IF(E37=H32,F37,NA())</f>
        <v>#N/A</v>
      </c>
      <c r="I37" t="e">
        <f>IF(E37=H32,G37,NA())</f>
        <v>#N/A</v>
      </c>
    </row>
    <row r="38" spans="1:9" x14ac:dyDescent="0.3">
      <c r="A38" s="24" t="s">
        <v>13</v>
      </c>
      <c r="B38">
        <v>186</v>
      </c>
      <c r="C38">
        <v>16651</v>
      </c>
      <c r="E38" s="24" t="s">
        <v>13</v>
      </c>
      <c r="F38">
        <v>186</v>
      </c>
      <c r="G38">
        <v>16651</v>
      </c>
      <c r="H38" t="e">
        <f>IF(E38=H32,F38,NA())</f>
        <v>#N/A</v>
      </c>
      <c r="I38" t="e">
        <f>IF(E38=H32,G38,NA())</f>
        <v>#N/A</v>
      </c>
    </row>
    <row r="39" spans="1:9" x14ac:dyDescent="0.3">
      <c r="A39" s="24" t="s">
        <v>10</v>
      </c>
      <c r="B39">
        <v>200</v>
      </c>
      <c r="C39">
        <v>20104</v>
      </c>
      <c r="E39" s="24" t="s">
        <v>10</v>
      </c>
      <c r="F39">
        <v>200</v>
      </c>
      <c r="G39">
        <v>20104</v>
      </c>
      <c r="H39" t="e">
        <f>IF(E39=H32,F39,NA())</f>
        <v>#N/A</v>
      </c>
      <c r="I39" t="e">
        <f>IF(E39=H32,G39,NA())</f>
        <v>#N/A</v>
      </c>
    </row>
    <row r="40" spans="1:9" x14ac:dyDescent="0.3">
      <c r="A40" s="24" t="s">
        <v>1048</v>
      </c>
      <c r="B40">
        <v>1000</v>
      </c>
      <c r="C40">
        <v>96623</v>
      </c>
    </row>
    <row r="43" spans="1:9" x14ac:dyDescent="0.3">
      <c r="A43" s="23" t="s">
        <v>1047</v>
      </c>
    </row>
    <row r="44" spans="1:9" x14ac:dyDescent="0.3">
      <c r="A44" s="24" t="s">
        <v>9</v>
      </c>
    </row>
    <row r="46" spans="1:9" x14ac:dyDescent="0.3">
      <c r="A46" s="23" t="s">
        <v>1061</v>
      </c>
      <c r="B46" s="23" t="s">
        <v>1072</v>
      </c>
    </row>
    <row r="47" spans="1:9" x14ac:dyDescent="0.3">
      <c r="A47" s="23" t="s">
        <v>1047</v>
      </c>
      <c r="B47" t="s">
        <v>999</v>
      </c>
      <c r="C47" t="s">
        <v>998</v>
      </c>
      <c r="D47" t="s">
        <v>1048</v>
      </c>
    </row>
    <row r="48" spans="1:9" x14ac:dyDescent="0.3">
      <c r="A48" s="24" t="s">
        <v>1002</v>
      </c>
      <c r="B48">
        <v>144</v>
      </c>
      <c r="C48">
        <v>132</v>
      </c>
      <c r="D48">
        <v>276</v>
      </c>
    </row>
    <row r="49" spans="1:7" x14ac:dyDescent="0.3">
      <c r="A49" s="24" t="s">
        <v>1001</v>
      </c>
      <c r="B49">
        <v>326</v>
      </c>
      <c r="C49">
        <v>63</v>
      </c>
      <c r="D49">
        <v>389</v>
      </c>
    </row>
    <row r="50" spans="1:7" x14ac:dyDescent="0.3">
      <c r="A50" s="24" t="s">
        <v>1000</v>
      </c>
      <c r="B50">
        <v>129</v>
      </c>
      <c r="C50">
        <v>206</v>
      </c>
      <c r="D50">
        <v>335</v>
      </c>
    </row>
    <row r="51" spans="1:7" x14ac:dyDescent="0.3">
      <c r="A51" s="24" t="s">
        <v>1048</v>
      </c>
      <c r="B51">
        <v>599</v>
      </c>
      <c r="C51">
        <v>401</v>
      </c>
      <c r="D51">
        <v>1000</v>
      </c>
    </row>
    <row r="54" spans="1:7" x14ac:dyDescent="0.3">
      <c r="A54" s="23" t="s">
        <v>1047</v>
      </c>
      <c r="B54" t="s">
        <v>1061</v>
      </c>
    </row>
    <row r="55" spans="1:7" x14ac:dyDescent="0.3">
      <c r="A55" s="24">
        <v>1</v>
      </c>
      <c r="B55" s="28">
        <v>3</v>
      </c>
    </row>
    <row r="56" spans="1:7" x14ac:dyDescent="0.3">
      <c r="A56" s="24">
        <v>2</v>
      </c>
      <c r="B56" s="28">
        <v>19</v>
      </c>
    </row>
    <row r="57" spans="1:7" x14ac:dyDescent="0.3">
      <c r="A57" s="24">
        <v>3</v>
      </c>
      <c r="B57" s="28">
        <v>35</v>
      </c>
    </row>
    <row r="58" spans="1:7" x14ac:dyDescent="0.3">
      <c r="A58" s="24">
        <v>4</v>
      </c>
      <c r="B58" s="28">
        <v>87</v>
      </c>
    </row>
    <row r="59" spans="1:7" x14ac:dyDescent="0.3">
      <c r="A59" s="24">
        <v>5</v>
      </c>
      <c r="B59" s="28">
        <v>74</v>
      </c>
    </row>
    <row r="60" spans="1:7" x14ac:dyDescent="0.3">
      <c r="A60" s="24" t="s">
        <v>1048</v>
      </c>
      <c r="B60" s="28">
        <v>218</v>
      </c>
    </row>
    <row r="62" spans="1:7" x14ac:dyDescent="0.3">
      <c r="A62" s="23" t="s">
        <v>1043</v>
      </c>
      <c r="B62" s="23" t="s">
        <v>1072</v>
      </c>
    </row>
    <row r="63" spans="1:7" x14ac:dyDescent="0.3">
      <c r="A63" s="23" t="s">
        <v>1047</v>
      </c>
      <c r="B63" t="s">
        <v>11</v>
      </c>
      <c r="C63" t="s">
        <v>9</v>
      </c>
      <c r="D63" t="s">
        <v>6</v>
      </c>
      <c r="E63" t="s">
        <v>13</v>
      </c>
      <c r="F63" t="s">
        <v>10</v>
      </c>
      <c r="G63" t="s">
        <v>1048</v>
      </c>
    </row>
    <row r="64" spans="1:7" x14ac:dyDescent="0.3">
      <c r="A64" s="24" t="s">
        <v>1002</v>
      </c>
    </row>
    <row r="65" spans="1:7" x14ac:dyDescent="0.3">
      <c r="A65" s="25" t="s">
        <v>20</v>
      </c>
      <c r="B65" s="21">
        <v>891</v>
      </c>
      <c r="C65" s="21">
        <v>1332</v>
      </c>
      <c r="D65" s="21">
        <v>1282</v>
      </c>
      <c r="E65" s="21">
        <v>739</v>
      </c>
      <c r="F65" s="21">
        <v>560</v>
      </c>
      <c r="G65" s="21">
        <v>4804</v>
      </c>
    </row>
    <row r="66" spans="1:7" x14ac:dyDescent="0.3">
      <c r="A66" s="25" t="s">
        <v>12</v>
      </c>
      <c r="B66" s="21">
        <v>1991</v>
      </c>
      <c r="C66" s="21">
        <v>1886</v>
      </c>
      <c r="D66" s="21">
        <v>1206</v>
      </c>
      <c r="E66" s="21">
        <v>884</v>
      </c>
      <c r="F66" s="21">
        <v>1722</v>
      </c>
      <c r="G66" s="21">
        <v>7689</v>
      </c>
    </row>
    <row r="67" spans="1:7" x14ac:dyDescent="0.3">
      <c r="A67" s="25" t="s">
        <v>8</v>
      </c>
      <c r="B67" s="21">
        <v>1163</v>
      </c>
      <c r="C67" s="21">
        <v>1180</v>
      </c>
      <c r="D67" s="21">
        <v>1616</v>
      </c>
      <c r="E67" s="21">
        <v>1043</v>
      </c>
      <c r="F67" s="21">
        <v>1747</v>
      </c>
      <c r="G67" s="21">
        <v>6749</v>
      </c>
    </row>
    <row r="68" spans="1:7" x14ac:dyDescent="0.3">
      <c r="A68" s="25" t="s">
        <v>16</v>
      </c>
      <c r="B68" s="21">
        <v>1438</v>
      </c>
      <c r="C68" s="21">
        <v>1616</v>
      </c>
      <c r="D68" s="21">
        <v>866</v>
      </c>
      <c r="E68" s="21">
        <v>829</v>
      </c>
      <c r="F68" s="21">
        <v>2070</v>
      </c>
      <c r="G68" s="21">
        <v>6819</v>
      </c>
    </row>
    <row r="69" spans="1:7" x14ac:dyDescent="0.3">
      <c r="A69" s="24" t="s">
        <v>1001</v>
      </c>
    </row>
    <row r="70" spans="1:7" x14ac:dyDescent="0.3">
      <c r="A70" s="25" t="s">
        <v>24</v>
      </c>
      <c r="B70" s="21">
        <v>1233</v>
      </c>
      <c r="C70" s="21">
        <v>223</v>
      </c>
      <c r="D70" s="21">
        <v>1680</v>
      </c>
      <c r="E70" s="21">
        <v>990</v>
      </c>
      <c r="F70" s="21">
        <v>1508</v>
      </c>
      <c r="G70" s="21">
        <v>5634</v>
      </c>
    </row>
    <row r="71" spans="1:7" x14ac:dyDescent="0.3">
      <c r="A71" s="25" t="s">
        <v>15</v>
      </c>
      <c r="B71" s="21">
        <v>1598</v>
      </c>
      <c r="C71" s="21">
        <v>1907</v>
      </c>
      <c r="D71" s="21">
        <v>869</v>
      </c>
      <c r="E71" s="21">
        <v>1426</v>
      </c>
      <c r="F71" s="21">
        <v>1416</v>
      </c>
      <c r="G71" s="21">
        <v>7216</v>
      </c>
    </row>
    <row r="72" spans="1:7" x14ac:dyDescent="0.3">
      <c r="A72" s="25" t="s">
        <v>5</v>
      </c>
      <c r="B72" s="21">
        <v>900</v>
      </c>
      <c r="C72" s="21">
        <v>1016</v>
      </c>
      <c r="D72" s="21">
        <v>960</v>
      </c>
      <c r="E72" s="21">
        <v>940</v>
      </c>
      <c r="F72" s="21">
        <v>1193</v>
      </c>
      <c r="G72" s="21">
        <v>5009</v>
      </c>
    </row>
    <row r="73" spans="1:7" x14ac:dyDescent="0.3">
      <c r="A73" s="25" t="s">
        <v>18</v>
      </c>
      <c r="B73" s="21">
        <v>900</v>
      </c>
      <c r="C73" s="21">
        <v>1470</v>
      </c>
      <c r="D73" s="21">
        <v>1617</v>
      </c>
      <c r="E73" s="21">
        <v>1314</v>
      </c>
      <c r="F73" s="21">
        <v>941</v>
      </c>
      <c r="G73" s="21">
        <v>6242</v>
      </c>
    </row>
    <row r="74" spans="1:7" x14ac:dyDescent="0.3">
      <c r="A74" s="25" t="s">
        <v>14</v>
      </c>
      <c r="B74" s="21">
        <v>1255</v>
      </c>
      <c r="C74" s="21">
        <v>516</v>
      </c>
      <c r="D74" s="21">
        <v>1874</v>
      </c>
      <c r="E74" s="21">
        <v>1863</v>
      </c>
      <c r="F74" s="21">
        <v>1722</v>
      </c>
      <c r="G74" s="21">
        <v>7230</v>
      </c>
    </row>
    <row r="75" spans="1:7" x14ac:dyDescent="0.3">
      <c r="A75" s="25" t="s">
        <v>19</v>
      </c>
      <c r="B75" s="21">
        <v>1138</v>
      </c>
      <c r="C75" s="21">
        <v>1898</v>
      </c>
      <c r="D75" s="21">
        <v>1482</v>
      </c>
      <c r="E75" s="21">
        <v>846</v>
      </c>
      <c r="F75" s="21">
        <v>1154</v>
      </c>
      <c r="G75" s="21">
        <v>6518</v>
      </c>
    </row>
    <row r="76" spans="1:7" x14ac:dyDescent="0.3">
      <c r="A76" s="24" t="s">
        <v>1000</v>
      </c>
    </row>
    <row r="77" spans="1:7" x14ac:dyDescent="0.3">
      <c r="A77" s="25" t="s">
        <v>17</v>
      </c>
      <c r="B77" s="21">
        <v>1655</v>
      </c>
      <c r="C77" s="21">
        <v>805</v>
      </c>
      <c r="D77" s="21">
        <v>2263</v>
      </c>
      <c r="E77" s="21">
        <v>987</v>
      </c>
      <c r="F77" s="21">
        <v>1075</v>
      </c>
      <c r="G77" s="21">
        <v>6785</v>
      </c>
    </row>
    <row r="78" spans="1:7" x14ac:dyDescent="0.3">
      <c r="A78" s="25" t="s">
        <v>23</v>
      </c>
      <c r="B78" s="21">
        <v>1104</v>
      </c>
      <c r="C78" s="21">
        <v>2280</v>
      </c>
      <c r="D78" s="21">
        <v>1445</v>
      </c>
      <c r="E78" s="21">
        <v>1722</v>
      </c>
      <c r="F78" s="21">
        <v>1196</v>
      </c>
      <c r="G78" s="21">
        <v>7747</v>
      </c>
    </row>
    <row r="79" spans="1:7" x14ac:dyDescent="0.3">
      <c r="A79" s="25" t="s">
        <v>7</v>
      </c>
      <c r="B79" s="21">
        <v>372</v>
      </c>
      <c r="C79" s="21">
        <v>1818</v>
      </c>
      <c r="D79" s="21">
        <v>1346</v>
      </c>
      <c r="E79" s="21">
        <v>1156</v>
      </c>
      <c r="F79" s="21">
        <v>1484</v>
      </c>
      <c r="G79" s="21">
        <v>6176</v>
      </c>
    </row>
    <row r="80" spans="1:7" x14ac:dyDescent="0.3">
      <c r="A80" s="25" t="s">
        <v>22</v>
      </c>
      <c r="B80" s="21">
        <v>1415</v>
      </c>
      <c r="C80" s="21">
        <v>1271</v>
      </c>
      <c r="D80" s="21">
        <v>1214</v>
      </c>
      <c r="E80" s="21">
        <v>1135</v>
      </c>
      <c r="F80" s="21">
        <v>1566</v>
      </c>
      <c r="G80" s="21">
        <v>6601</v>
      </c>
    </row>
    <row r="81" spans="1:7" x14ac:dyDescent="0.3">
      <c r="A81" s="25" t="s">
        <v>21</v>
      </c>
      <c r="B81" s="21">
        <v>1362</v>
      </c>
      <c r="C81" s="21">
        <v>1363</v>
      </c>
      <c r="D81" s="21">
        <v>1152</v>
      </c>
      <c r="E81" s="21">
        <v>777</v>
      </c>
      <c r="F81" s="21">
        <v>750</v>
      </c>
      <c r="G81" s="21">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FF513-4853-41B5-A58B-7E9FDD483ED5}">
  <dimension ref="L15:R33"/>
  <sheetViews>
    <sheetView tabSelected="1" topLeftCell="A9" workbookViewId="0">
      <selection activeCell="L15" sqref="L15:R33"/>
    </sheetView>
  </sheetViews>
  <sheetFormatPr defaultRowHeight="14.4" x14ac:dyDescent="0.3"/>
  <cols>
    <col min="12" max="12" width="14.3984375" customWidth="1"/>
    <col min="13" max="17" width="6.3984375" bestFit="1" customWidth="1"/>
    <col min="18" max="18" width="10.296875" bestFit="1" customWidth="1"/>
  </cols>
  <sheetData>
    <row r="15" spans="12:18" x14ac:dyDescent="0.3">
      <c r="M15" t="str" cm="1">
        <f t="array" ref="M15:Q15">Sheet4!B63:F63</f>
        <v>R01</v>
      </c>
      <c r="N15" t="str">
        <v>R02</v>
      </c>
      <c r="O15" t="str">
        <v>R03</v>
      </c>
      <c r="P15" t="str">
        <v>R04</v>
      </c>
      <c r="Q15" t="str">
        <v>R05</v>
      </c>
      <c r="R15" s="26" t="s">
        <v>1073</v>
      </c>
    </row>
    <row r="16" spans="12:18" x14ac:dyDescent="0.3">
      <c r="L16" t="str" cm="1">
        <f t="array" ref="L16:R33">IF(Sheet4!A64:G81="","",Sheet4!A64:G81)</f>
        <v>Cincinnati</v>
      </c>
      <c r="M16" t="str">
        <v/>
      </c>
      <c r="N16" t="str">
        <v/>
      </c>
      <c r="O16" t="str">
        <v/>
      </c>
      <c r="P16" t="str">
        <v/>
      </c>
      <c r="Q16" t="str">
        <v/>
      </c>
      <c r="R16" t="str">
        <v/>
      </c>
    </row>
    <row r="17" spans="12:18" x14ac:dyDescent="0.3">
      <c r="L17" s="26" t="str">
        <v>C0003</v>
      </c>
      <c r="M17" s="27">
        <v>891</v>
      </c>
      <c r="N17" s="27">
        <v>1332</v>
      </c>
      <c r="O17" s="27">
        <v>1282</v>
      </c>
      <c r="P17" s="27">
        <v>739</v>
      </c>
      <c r="Q17" s="27">
        <v>560</v>
      </c>
      <c r="R17" s="27">
        <v>4804</v>
      </c>
    </row>
    <row r="18" spans="12:18" x14ac:dyDescent="0.3">
      <c r="L18" s="26" t="str">
        <v>C0004</v>
      </c>
      <c r="M18" s="27">
        <v>1991</v>
      </c>
      <c r="N18" s="27">
        <v>1886</v>
      </c>
      <c r="O18" s="27">
        <v>1206</v>
      </c>
      <c r="P18" s="27">
        <v>884</v>
      </c>
      <c r="Q18" s="27">
        <v>1722</v>
      </c>
      <c r="R18" s="27">
        <v>7689</v>
      </c>
    </row>
    <row r="19" spans="12:18" x14ac:dyDescent="0.3">
      <c r="L19" s="26" t="str">
        <v>C0011</v>
      </c>
      <c r="M19" s="27">
        <v>1163</v>
      </c>
      <c r="N19" s="27">
        <v>1180</v>
      </c>
      <c r="O19" s="27">
        <v>1616</v>
      </c>
      <c r="P19" s="27">
        <v>1043</v>
      </c>
      <c r="Q19" s="27">
        <v>1747</v>
      </c>
      <c r="R19" s="27">
        <v>6749</v>
      </c>
    </row>
    <row r="20" spans="12:18" x14ac:dyDescent="0.3">
      <c r="L20" s="26" t="str">
        <v>C0012</v>
      </c>
      <c r="M20" s="27">
        <v>1438</v>
      </c>
      <c r="N20" s="27">
        <v>1616</v>
      </c>
      <c r="O20" s="27">
        <v>866</v>
      </c>
      <c r="P20" s="27">
        <v>829</v>
      </c>
      <c r="Q20" s="27">
        <v>2070</v>
      </c>
      <c r="R20" s="27">
        <v>6819</v>
      </c>
    </row>
    <row r="21" spans="12:18" x14ac:dyDescent="0.3">
      <c r="L21" t="str">
        <v>Cleveland</v>
      </c>
      <c r="M21" s="27" t="str">
        <v/>
      </c>
      <c r="N21" s="27" t="str">
        <v/>
      </c>
      <c r="O21" s="27" t="str">
        <v/>
      </c>
      <c r="P21" s="27" t="str">
        <v/>
      </c>
      <c r="Q21" s="27" t="str">
        <v/>
      </c>
      <c r="R21" s="27" t="str">
        <v/>
      </c>
    </row>
    <row r="22" spans="12:18" x14ac:dyDescent="0.3">
      <c r="L22" s="26" t="str">
        <v>C0002</v>
      </c>
      <c r="M22" s="27">
        <v>1233</v>
      </c>
      <c r="N22" s="27">
        <v>223</v>
      </c>
      <c r="O22" s="27">
        <v>1680</v>
      </c>
      <c r="P22" s="27">
        <v>990</v>
      </c>
      <c r="Q22" s="27">
        <v>1508</v>
      </c>
      <c r="R22" s="27">
        <v>5634</v>
      </c>
    </row>
    <row r="23" spans="12:18" x14ac:dyDescent="0.3">
      <c r="L23" s="26" t="str">
        <v>C0007</v>
      </c>
      <c r="M23" s="27">
        <v>1598</v>
      </c>
      <c r="N23" s="27">
        <v>1907</v>
      </c>
      <c r="O23" s="27">
        <v>869</v>
      </c>
      <c r="P23" s="27">
        <v>1426</v>
      </c>
      <c r="Q23" s="27">
        <v>1416</v>
      </c>
      <c r="R23" s="27">
        <v>7216</v>
      </c>
    </row>
    <row r="24" spans="12:18" x14ac:dyDescent="0.3">
      <c r="L24" s="26" t="str">
        <v>C0008</v>
      </c>
      <c r="M24" s="27">
        <v>900</v>
      </c>
      <c r="N24" s="27">
        <v>1016</v>
      </c>
      <c r="O24" s="27">
        <v>960</v>
      </c>
      <c r="P24" s="27">
        <v>940</v>
      </c>
      <c r="Q24" s="27">
        <v>1193</v>
      </c>
      <c r="R24" s="27">
        <v>5009</v>
      </c>
    </row>
    <row r="25" spans="12:18" x14ac:dyDescent="0.3">
      <c r="L25" s="26" t="str">
        <v>C0010</v>
      </c>
      <c r="M25" s="27">
        <v>900</v>
      </c>
      <c r="N25" s="27">
        <v>1470</v>
      </c>
      <c r="O25" s="27">
        <v>1617</v>
      </c>
      <c r="P25" s="27">
        <v>1314</v>
      </c>
      <c r="Q25" s="27">
        <v>941</v>
      </c>
      <c r="R25" s="27">
        <v>6242</v>
      </c>
    </row>
    <row r="26" spans="12:18" x14ac:dyDescent="0.3">
      <c r="L26" s="26" t="str">
        <v>C0013</v>
      </c>
      <c r="M26" s="27">
        <v>1255</v>
      </c>
      <c r="N26" s="27">
        <v>516</v>
      </c>
      <c r="O26" s="27">
        <v>1874</v>
      </c>
      <c r="P26" s="27">
        <v>1863</v>
      </c>
      <c r="Q26" s="27">
        <v>1722</v>
      </c>
      <c r="R26" s="27">
        <v>7230</v>
      </c>
    </row>
    <row r="27" spans="12:18" x14ac:dyDescent="0.3">
      <c r="L27" s="26" t="str">
        <v>C0015</v>
      </c>
      <c r="M27" s="27">
        <v>1138</v>
      </c>
      <c r="N27" s="27">
        <v>1898</v>
      </c>
      <c r="O27" s="27">
        <v>1482</v>
      </c>
      <c r="P27" s="27">
        <v>846</v>
      </c>
      <c r="Q27" s="27">
        <v>1154</v>
      </c>
      <c r="R27" s="27">
        <v>6518</v>
      </c>
    </row>
    <row r="28" spans="12:18" x14ac:dyDescent="0.3">
      <c r="L28" t="str">
        <v>Columbus</v>
      </c>
      <c r="M28" s="27" t="str">
        <v/>
      </c>
      <c r="N28" s="27" t="str">
        <v/>
      </c>
      <c r="O28" s="27" t="str">
        <v/>
      </c>
      <c r="P28" s="27" t="str">
        <v/>
      </c>
      <c r="Q28" s="27" t="str">
        <v/>
      </c>
      <c r="R28" s="27" t="str">
        <v/>
      </c>
    </row>
    <row r="29" spans="12:18" x14ac:dyDescent="0.3">
      <c r="L29" s="26" t="str">
        <v>C0001</v>
      </c>
      <c r="M29" s="27">
        <v>1655</v>
      </c>
      <c r="N29" s="27">
        <v>805</v>
      </c>
      <c r="O29" s="27">
        <v>2263</v>
      </c>
      <c r="P29" s="27">
        <v>987</v>
      </c>
      <c r="Q29" s="27">
        <v>1075</v>
      </c>
      <c r="R29" s="27">
        <v>6785</v>
      </c>
    </row>
    <row r="30" spans="12:18" x14ac:dyDescent="0.3">
      <c r="L30" s="26" t="str">
        <v>C0005</v>
      </c>
      <c r="M30" s="27">
        <v>1104</v>
      </c>
      <c r="N30" s="27">
        <v>2280</v>
      </c>
      <c r="O30" s="27">
        <v>1445</v>
      </c>
      <c r="P30" s="27">
        <v>1722</v>
      </c>
      <c r="Q30" s="27">
        <v>1196</v>
      </c>
      <c r="R30" s="27">
        <v>7747</v>
      </c>
    </row>
    <row r="31" spans="12:18" x14ac:dyDescent="0.3">
      <c r="L31" s="26" t="str">
        <v>C0006</v>
      </c>
      <c r="M31" s="27">
        <v>372</v>
      </c>
      <c r="N31" s="27">
        <v>1818</v>
      </c>
      <c r="O31" s="27">
        <v>1346</v>
      </c>
      <c r="P31" s="27">
        <v>1156</v>
      </c>
      <c r="Q31" s="27">
        <v>1484</v>
      </c>
      <c r="R31" s="27">
        <v>6176</v>
      </c>
    </row>
    <row r="32" spans="12:18" x14ac:dyDescent="0.3">
      <c r="L32" s="26" t="str">
        <v>C0009</v>
      </c>
      <c r="M32" s="27">
        <v>1415</v>
      </c>
      <c r="N32" s="27">
        <v>1271</v>
      </c>
      <c r="O32" s="27">
        <v>1214</v>
      </c>
      <c r="P32" s="27">
        <v>1135</v>
      </c>
      <c r="Q32" s="27">
        <v>1566</v>
      </c>
      <c r="R32" s="27">
        <v>6601</v>
      </c>
    </row>
    <row r="33" spans="12:18" x14ac:dyDescent="0.3">
      <c r="L33" s="26" t="str">
        <v>C0014</v>
      </c>
      <c r="M33" s="27">
        <v>1362</v>
      </c>
      <c r="N33" s="27">
        <v>1363</v>
      </c>
      <c r="O33" s="27">
        <v>1152</v>
      </c>
      <c r="P33" s="27">
        <v>777</v>
      </c>
      <c r="Q33" s="27">
        <v>750</v>
      </c>
      <c r="R33" s="27">
        <v>5404</v>
      </c>
    </row>
  </sheetData>
  <conditionalFormatting sqref="M17:Q33">
    <cfRule type="colorScale" priority="5">
      <colorScale>
        <cfvo type="num" val="0"/>
        <cfvo type="formula" val="MAX($M$17:$Q$33*2)"/>
        <color rgb="FF0070C0"/>
        <color rgb="FF00B0F0"/>
      </colorScale>
    </cfRule>
    <cfRule type="dataBar" priority="6">
      <dataBar>
        <cfvo type="min"/>
        <cfvo type="max"/>
        <color rgb="FF638EC6"/>
      </dataBar>
      <extLst>
        <ext xmlns:x14="http://schemas.microsoft.com/office/spreadsheetml/2009/9/main" uri="{B025F937-C7B1-47D3-B67F-A62EFF666E3E}">
          <x14:id>{D004B222-C95A-4DBE-89F6-BA0229BAA677}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004B222-C95A-4DBE-89F6-BA0229BAA677}">
            <x14:dataBar minLength="0" maxLength="100" gradient="0">
              <x14:cfvo type="autoMin"/>
              <x14:cfvo type="autoMax"/>
              <x14:negativeFillColor rgb="FFFF0000"/>
              <x14:axisColor rgb="FF000000"/>
            </x14:dataBar>
          </x14:cfRule>
          <xm:sqref>M17:Q33</xm:sqref>
        </x14:conditionalFormatting>
        <x14:conditionalFormatting xmlns:xm="http://schemas.microsoft.com/office/excel/2006/main">
          <x14:cfRule type="expression" priority="2" id="{A17613EB-461D-4147-9C4C-4AD39B70CF35}">
            <xm:f>$M$15:$Q$33=Sheet4!$A$44</xm:f>
            <x14:dxf>
              <fill>
                <patternFill>
                  <bgColor theme="8" tint="0.59996337778862885"/>
                </patternFill>
              </fill>
            </x14:dxf>
          </x14:cfRule>
          <xm:sqref>M15</xm:sqref>
        </x14:conditionalFormatting>
        <x14:conditionalFormatting xmlns:xm="http://schemas.microsoft.com/office/excel/2006/main">
          <x14:cfRule type="expression" priority="7" id="{51026B39-7D98-4A54-A979-94D1A6A1DCA6}">
            <xm:f>M$15=Sheet4!$A$44</xm:f>
            <x14:dxf>
              <fill>
                <patternFill>
                  <bgColor theme="8" tint="0.79998168889431442"/>
                </patternFill>
              </fill>
            </x14:dxf>
          </x14:cfRule>
          <xm:sqref>M15:Q33</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17" sqref="C1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Sheet5</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Zakir Hussain</cp:lastModifiedBy>
  <dcterms:created xsi:type="dcterms:W3CDTF">2021-03-14T20:21:32Z</dcterms:created>
  <dcterms:modified xsi:type="dcterms:W3CDTF">2025-12-26T14:38:09Z</dcterms:modified>
</cp:coreProperties>
</file>